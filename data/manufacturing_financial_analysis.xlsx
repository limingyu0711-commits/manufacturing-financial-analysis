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d0cfceb00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3e3feea1434879"/>
    <x:sheet xmlns:r="http://schemas.openxmlformats.org/officeDocument/2006/relationships" name="Monthly Analysis" sheetId="2" r:id="Racffdf9e268e4698"/>
    <x:sheet xmlns:r="http://schemas.openxmlformats.org/officeDocument/2006/relationships" name="Product Analysis" sheetId="3" r:id="R42d6749e51d046f1"/>
    <x:sheet xmlns:r="http://schemas.openxmlformats.org/officeDocument/2006/relationships" name="GP Bridge" sheetId="4" r:id="R49a48ac4905c4fdc"/>
    <x:sheet xmlns:r="http://schemas.openxmlformats.org/officeDocument/2006/relationships" name="Data" sheetId="5" r:id="Re0b808808aff4c8d"/>
    <x:sheet xmlns:r="http://schemas.openxmlformats.org/officeDocument/2006/relationships" name="Audit" sheetId="6" r:id="R21dad5b64e9d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(#,##0);-"/>
    <x:numFmt numFmtId="201" formatCode="€#,##0.00;(€#,##0.00);-"/>
    <x:numFmt numFmtId="202" formatCode="0.00%;(0.00%);-"/>
    <x:numFmt numFmtId="203" formatCode="0.0%;(0.0%);-"/>
    <x:numFmt numFmtId="204" formatCode="€#,##0;(€#,##0);-"/>
    <x:numFmt numFmtId="205" formatCode="0.00 &quot;pp&quot;;(0.00 &quot;pp&quot;);-"/>
    <x:numFmt numFmtId="206" formatCode="0.00;(0.00);-"/>
  </x:numFmts>
  <x:fonts count="11">
    <x:font>
      <x:sz val="11"/>
      <x:name val="Carlito"/>
    </x:font>
    <x:font>
      <x:b/>
      <x:sz val="14"/>
      <x:color rgb="FF163A5F"/>
      <x:name val="Arial"/>
    </x:font>
    <x:font>
      <x:i/>
      <x:sz val="10"/>
      <x:color rgb="FF5F6B76"/>
      <x:name val="Arial"/>
    </x:font>
    <x:font>
      <x:b/>
      <x:sz val="10"/>
      <x:color rgb="FFFFFFFF"/>
      <x:name val="Arial"/>
    </x:font>
    <x:font>
      <x:b/>
      <x:sz val="9"/>
      <x:color rgb="FF1F2933"/>
      <x:name val="Arial"/>
    </x:font>
    <x:font>
      <x:sz val="9"/>
      <x:color rgb="FF1F2933"/>
      <x:name val="Arial"/>
    </x:font>
    <x:font>
      <x:sz val="9"/>
      <x:color rgb="FF0000FF"/>
      <x:name val="Arial"/>
    </x:font>
    <x:font>
      <x:i/>
      <x:sz val="9"/>
      <x:color rgb="FF1F2933"/>
      <x:name val="Arial"/>
    </x:font>
    <x:font>
      <x:sz val="10"/>
      <x:color rgb="FF1F2933"/>
      <x:name val="Arial"/>
    </x:font>
    <x:font>
      <x:i/>
      <x:sz val="10"/>
      <x:color rgb="FF1F2933"/>
      <x:name val="Arial"/>
    </x:font>
    <x:font>
      <x:b/>
      <x:sz val="10"/>
      <x:color rgb="FF163A5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medium">
        <x:color rgb="FF163A5F"/>
      </x:bottom>
      <x:diagonal/>
    </x:border>
    <x:border>
      <x:left/>
      <x:right style="thin">
        <x:color rgb="FFFFFFFF"/>
      </x:right>
      <x:top/>
      <x:bottom style="medium">
        <x:color rgb="FF163A5F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163A5F"/>
      </x:bottom>
      <x:diagonal/>
    </x:border>
    <x:border>
      <x:left style="thin">
        <x:color rgb="FFFFFFFF"/>
      </x:left>
      <x:right/>
      <x:top/>
      <x:bottom style="medium">
        <x:color rgb="FF163A5F"/>
      </x:bottom>
      <x:diagonal/>
    </x:border>
    <x:border>
      <x:left/>
      <x:right/>
      <x:top/>
      <x:bottom style="thin">
        <x:color rgb="FFD9E1E8"/>
      </x:bottom>
      <x:diagonal/>
    </x:border>
    <x:border>
      <x:left style="thin">
        <x:color rgb="FFB4C7DC"/>
      </x:left>
      <x:right/>
      <x:top style="thin">
        <x:color rgb="FFB4C7DC"/>
      </x:top>
      <x:bottom style="thin">
        <x:color rgb="FFB4C7DC"/>
      </x:bottom>
      <x:diagonal/>
    </x:border>
    <x:border>
      <x:left/>
      <x:right/>
      <x:top style="thin">
        <x:color rgb="FFB4C7DC"/>
      </x:top>
      <x:bottom style="thin">
        <x:color rgb="FFB4C7DC"/>
      </x:bottom>
      <x:diagonal/>
    </x:border>
    <x:border>
      <x:left/>
      <x:right style="thin">
        <x:color rgb="FFB4C7DC"/>
      </x:right>
      <x:top style="thin">
        <x:color rgb="FFB4C7DC"/>
      </x:top>
      <x:bottom style="thin">
        <x:color rgb="FFB4C7DC"/>
      </x:bottom>
      <x:diagonal/>
    </x:border>
    <x:border>
      <x:left/>
      <x:right/>
      <x:top/>
      <x:bottom style="thin">
        <x:color rgb="FFB4C7DC"/>
      </x:bottom>
      <x:diagonal/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2" fontId="7" fillId="0" borderId="0" xfId="0" applyNumberFormat="1" applyFont="1" applyFill="1" applyBorder="1"/>
    <x:xf numFmtId="200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8" fillId="0" borderId="0" xfId="0" applyNumberFormat="1" applyFont="1" applyFill="1" applyBorder="1"/>
    <x:xf numFmtId="204" fontId="8" fillId="0" borderId="0" xfId="0" applyNumberFormat="1" applyFont="1" applyFill="1" applyBorder="1"/>
    <x:xf numFmtId="203" fontId="8" fillId="0" borderId="0" xfId="0" applyNumberFormat="1" applyFont="1" applyFill="1" applyBorder="1"/>
    <x:xf numFmtId="202" fontId="8" fillId="0" borderId="0" xfId="0" applyNumberFormat="1" applyFont="1" applyFill="1" applyBorder="1"/>
    <x:xf numFmtId="205" fontId="8" fillId="0" borderId="0" xfId="0" applyNumberFormat="1" applyFont="1" applyFill="1" applyBorder="1"/>
    <x:xf numFmtId="0" fontId="9" fillId="0" borderId="0" xfId="0" applyNumberFormat="1" applyFont="1" applyFill="1" applyBorder="1"/>
    <x:xf numFmtId="202" fontId="9" fillId="0" borderId="0" xfId="0" applyNumberFormat="1" applyFont="1" applyFill="1" applyBorder="1"/>
    <x:xf numFmtId="205" fontId="9" fillId="0" borderId="0" xfId="0" applyNumberFormat="1" applyFont="1" applyFill="1" applyBorder="1"/>
    <x:xf numFmtId="0" fontId="9" fillId="0" borderId="5" xfId="0" applyNumberFormat="1" applyFont="1" applyFill="1" applyBorder="1"/>
    <x:xf numFmtId="202" fontId="9" fillId="0" borderId="5" xfId="0" applyNumberFormat="1" applyFont="1" applyFill="1" applyBorder="1"/>
    <x:xf numFmtId="205" fontId="9" fillId="0" borderId="5" xfId="0" applyNumberFormat="1" applyFont="1" applyFill="1" applyBorder="1"/>
    <x:xf numFmtId="0" fontId="0" fillId="3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6" xfId="0" applyNumberFormat="1" applyFont="1" applyFill="1" applyBorder="1"/>
    <x:xf numFmtId="0" fontId="10" fillId="3" borderId="7" xfId="0" applyNumberFormat="1" applyFont="1" applyFill="1" applyBorder="1"/>
    <x:xf numFmtId="0" fontId="10" fillId="3" borderId="8" xfId="0" applyNumberFormat="1" applyFont="1" applyFill="1" applyBorder="1"/>
    <x:xf numFmtId="0" fontId="10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0"/>
    </x:xf>
    <x:xf numFmtId="0" fontId="10" fillId="0" borderId="5" xfId="0" applyNumberFormat="1" applyFont="1" applyFill="1" applyBorder="1"/>
    <x:xf numFmtId="0" fontId="8" fillId="0" borderId="5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vertical="center"/>
    </x:xf>
    <x:xf numFmtId="202" fontId="9" fillId="0" borderId="5" xfId="0" applyNumberFormat="1" applyFont="1" applyFill="1" applyBorder="1" applyAlignment="1">
      <x:alignment vertical="center"/>
    </x:xf>
    <x:xf numFmtId="205" fontId="9" fillId="0" borderId="5" xfId="0" applyNumberFormat="1" applyFont="1" applyFill="1" applyBorder="1" applyAlignment="1">
      <x:alignment vertical="center"/>
    </x:xf>
    <x:xf numFmtId="0" fontId="10" fillId="3" borderId="6" xfId="0" applyNumberFormat="1" applyFont="1" applyFill="1" applyBorder="1" applyAlignment="1">
      <x:alignment vertical="center"/>
    </x:xf>
    <x:xf numFmtId="0" fontId="10" fillId="3" borderId="7" xfId="0" applyNumberFormat="1" applyFont="1" applyFill="1" applyBorder="1" applyAlignment="1">
      <x:alignment vertical="center"/>
    </x:xf>
    <x:xf numFmtId="0" fontId="10" fillId="3" borderId="8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0"/>
    </x:xf>
    <x:xf numFmtId="0" fontId="10" fillId="0" borderId="5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 wrapText="0"/>
    </x:xf>
    <x:xf numFmtId="0" fontId="4" fillId="3" borderId="0" xfId="0" applyNumberFormat="1" applyFont="1" applyFill="1" applyBorder="1"/>
    <x:xf numFmtId="0" fontId="4" fillId="3" borderId="9" xfId="0" applyNumberFormat="1" applyFont="1" applyFill="1" applyBorder="1"/>
    <x:xf numFmtId="0" fontId="5" fillId="0" borderId="5" xfId="0" applyNumberFormat="1" applyFont="1" applyFill="1" applyBorder="1"/>
    <x:xf numFmtId="200" fontId="4" fillId="3" borderId="9" xfId="0" applyNumberFormat="1" applyFont="1" applyFill="1" applyBorder="1"/>
    <x:xf numFmtId="200" fontId="0" fillId="0" borderId="0" xfId="0" applyNumberFormat="1" applyFont="1" applyFill="1" applyBorder="1"/>
    <x:xf numFmtId="200" fontId="5" fillId="0" borderId="5" xfId="0" applyNumberFormat="1" applyFont="1" applyFill="1" applyBorder="1"/>
    <x:xf numFmtId="201" fontId="4" fillId="3" borderId="9" xfId="0" applyNumberFormat="1" applyFont="1" applyFill="1" applyBorder="1"/>
    <x:xf numFmtId="201" fontId="0" fillId="0" borderId="0" xfId="0" applyNumberFormat="1" applyFont="1" applyFill="1" applyBorder="1"/>
    <x:xf numFmtId="201" fontId="5" fillId="0" borderId="5" xfId="0" applyNumberFormat="1" applyFont="1" applyFill="1" applyBorder="1"/>
    <x:xf numFmtId="0" fontId="4" fillId="3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206" fontId="8" fillId="0" borderId="0" xfId="0" applyNumberFormat="1" applyFont="1" applyFill="1" applyBorder="1"/>
    <x:xf numFmtId="0" fontId="8" fillId="0" borderId="5" xfId="0" applyNumberFormat="1" applyFont="1" applyFill="1" applyBorder="1"/>
    <x:xf numFmtId="206" fontId="8" fillId="0" borderId="5" xfId="0" applyNumberFormat="1" applyFont="1" applyFill="1" applyBorder="1"/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9249ab4b3400f" /><Relationship Type="http://schemas.openxmlformats.org/officeDocument/2006/relationships/theme" Target="/xl/theme/theme1.xml" Id="R186600de91e941d8" /><Relationship Type="http://schemas.openxmlformats.org/officeDocument/2006/relationships/sharedStrings" Target="/xl/sharedStrings.xml" Id="R41e5c5a56d1c4a7f" /><Relationship Type="http://schemas.openxmlformats.org/officeDocument/2006/relationships/worksheet" Target="/xl/worksheets/sheet1.xml" Id="R893e3feea1434879" /><Relationship Type="http://schemas.openxmlformats.org/officeDocument/2006/relationships/worksheet" Target="/xl/worksheets/sheet2.xml" Id="Racffdf9e268e4698" /><Relationship Type="http://schemas.openxmlformats.org/officeDocument/2006/relationships/worksheet" Target="/xl/worksheets/sheet3.xml" Id="R42d6749e51d046f1" /><Relationship Type="http://schemas.openxmlformats.org/officeDocument/2006/relationships/worksheet" Target="/xl/worksheets/sheet4.xml" Id="R49a48ac4905c4fdc" /><Relationship Type="http://schemas.openxmlformats.org/officeDocument/2006/relationships/worksheet" Target="/xl/worksheets/sheet5.xml" Id="Re0b808808aff4c8d" /><Relationship Type="http://schemas.openxmlformats.org/officeDocument/2006/relationships/worksheet" Target="/xl/worksheets/sheet6.xml" Id="R21dad5b64e9d44e7" /></Relationships>
</file>

<file path=xl/tables/table1.xml><?xml version="1.0" encoding="utf-8"?>
<x:table xmlns:x="http://schemas.openxmlformats.org/spreadsheetml/2006/main" id="2" name="MonthlyAnalysisTable" displayName="MonthlyAnalysisTable" ref="A5:AA17" headerRowCount="1" totalsRowCount="0" totalsRowShown="0">
  <x:tableColumns count="27">
    <x:tableColumn id="1" name="Month"/>
    <x:tableColumn id="2" name="Budget Sales Volume"/>
    <x:tableColumn id="3" name="Actual Sales Volume"/>
    <x:tableColumn id="4" name="Budget Revenue"/>
    <x:tableColumn id="5" name="Actual Revenue"/>
    <x:tableColumn id="6" name="Budget Material Cost"/>
    <x:tableColumn id="7" name="Actual Material Cost"/>
    <x:tableColumn id="8" name="Budget Labor Cost"/>
    <x:tableColumn id="9" name="Actual Labor Cost"/>
    <x:tableColumn id="10" name="Budget Manufacturing Overhead"/>
    <x:tableColumn id="11" name="Actual Manufacturing Overhead"/>
    <x:tableColumn id="12" name="Budget COGS"/>
    <x:tableColumn id="13" name="Actual COGS"/>
    <x:tableColumn id="14" name="Budget Gross Profit"/>
    <x:tableColumn id="15" name="Actual Gross Profit"/>
    <x:tableColumn id="16" name="Revenue Volume Effect"/>
    <x:tableColumn id="17" name="Revenue Price Effect"/>
    <x:tableColumn id="18" name="Revenue Variance"/>
    <x:tableColumn id="19" name="Revenue Variance %"/>
    <x:tableColumn id="20" name="COGS Variance"/>
    <x:tableColumn id="21" name="COGS Variance %"/>
    <x:tableColumn id="22" name="Gross Profit Variance"/>
    <x:tableColumn id="23" name="Gross Profit Variance %"/>
    <x:tableColumn id="24" name="Budget Gross Margin"/>
    <x:tableColumn id="25" name="Actual Gross Margin"/>
    <x:tableColumn id="26" name="Gross Margin Variance (pp)"/>
    <x:tableColumn id="27" name="Actual Revenue Growth %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ProductAnalysisTable" displayName="ProductAnalysisTable" ref="A5:AD8" headerRowCount="1" totalsRowCount="0" totalsRowShown="0">
  <x:tableColumns count="30">
    <x:tableColumn id="1" name="Product Line"/>
    <x:tableColumn id="2" name="Budget Sales Volume"/>
    <x:tableColumn id="3" name="Actual Sales Volume"/>
    <x:tableColumn id="4" name="Budget Revenue"/>
    <x:tableColumn id="5" name="Actual Revenue"/>
    <x:tableColumn id="6" name="Budget Material Cost"/>
    <x:tableColumn id="7" name="Actual Material Cost"/>
    <x:tableColumn id="8" name="Budget Labor Cost"/>
    <x:tableColumn id="9" name="Actual Labor Cost"/>
    <x:tableColumn id="10" name="Budget Manufacturing Overhead"/>
    <x:tableColumn id="11" name="Actual Manufacturing Overhead"/>
    <x:tableColumn id="12" name="Budget COGS"/>
    <x:tableColumn id="13" name="Actual COGS"/>
    <x:tableColumn id="14" name="Budget Gross Profit"/>
    <x:tableColumn id="15" name="Actual Gross Profit"/>
    <x:tableColumn id="16" name="Revenue Volume Effect"/>
    <x:tableColumn id="17" name="Revenue Price Effect"/>
    <x:tableColumn id="18" name="Revenue Variance"/>
    <x:tableColumn id="19" name="Revenue Variance %"/>
    <x:tableColumn id="20" name="COGS Variance"/>
    <x:tableColumn id="21" name="COGS Variance %"/>
    <x:tableColumn id="22" name="Gross Profit Variance"/>
    <x:tableColumn id="23" name="Gross Profit Variance %"/>
    <x:tableColumn id="24" name="Budget Gross Margin"/>
    <x:tableColumn id="25" name="Actual Gross Margin"/>
    <x:tableColumn id="26" name="Gross Margin Variance (pp)"/>
    <x:tableColumn id="27" name="Actual Material Cost % of COGS"/>
    <x:tableColumn id="28" name="Actual Labor Cost % of COGS"/>
    <x:tableColumn id="29" name="Actual Overhead % of COGS"/>
    <x:tableColumn id="30" name="Actual Revenue Mix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FinancialDataTable" displayName="FinancialDataTable" ref="A5:AP41" headerRowCount="1" totalsRowCount="0" totalsRowShown="0">
  <x:tableColumns count="42">
    <x:tableColumn id="1" name="Month"/>
    <x:tableColumn id="2" name="Product Line"/>
    <x:tableColumn id="3" name="Currency"/>
    <x:tableColumn id="4" name="Data Classification"/>
    <x:tableColumn id="5" name="Company Type"/>
    <x:tableColumn id="6" name="Budget Sales Volume"/>
    <x:tableColumn id="7" name="Actual Sales Volume"/>
    <x:tableColumn id="8" name="Budget Unit Price"/>
    <x:tableColumn id="9" name="Actual Unit Price"/>
    <x:tableColumn id="10" name="Budget Material Unit Cost"/>
    <x:tableColumn id="11" name="Actual Material Unit Cost"/>
    <x:tableColumn id="12" name="Budget Labor Unit Cost"/>
    <x:tableColumn id="13" name="Actual Labor Unit Cost"/>
    <x:tableColumn id="14" name="Budget Overhead Unit Cost"/>
    <x:tableColumn id="15" name="Actual Overhead Unit Cost"/>
    <x:tableColumn id="16" name="Budget Revenue"/>
    <x:tableColumn id="17" name="Budget Unit COGS"/>
    <x:tableColumn id="18" name="Budget Material Cost"/>
    <x:tableColumn id="19" name="Budget Labor Cost"/>
    <x:tableColumn id="20" name="Budget Manufacturing Overhead"/>
    <x:tableColumn id="21" name="Budget COGS"/>
    <x:tableColumn id="22" name="Budget Gross Profit"/>
    <x:tableColumn id="23" name="Budget Gross Margin"/>
    <x:tableColumn id="24" name="Actual Revenue"/>
    <x:tableColumn id="25" name="Actual Unit COGS"/>
    <x:tableColumn id="26" name="Actual Material Cost"/>
    <x:tableColumn id="27" name="Actual Labor Cost"/>
    <x:tableColumn id="28" name="Actual Manufacturing Overhead"/>
    <x:tableColumn id="29" name="Actual COGS"/>
    <x:tableColumn id="30" name="Actual Gross Profit"/>
    <x:tableColumn id="31" name="Actual Gross Margin"/>
    <x:tableColumn id="32" name="Sales Volume Variance"/>
    <x:tableColumn id="33" name="Sales Volume Variance %"/>
    <x:tableColumn id="34" name="Revenue Variance"/>
    <x:tableColumn id="35" name="Revenue Variance %"/>
    <x:tableColumn id="36" name="COGS Variance"/>
    <x:tableColumn id="37" name="COGS Variance %"/>
    <x:tableColumn id="38" name="Gross Profit Variance"/>
    <x:tableColumn id="39" name="Gross Profit Variance %"/>
    <x:tableColumn id="40" name="Gross Margin Variance (pp)"/>
    <x:tableColumn id="41" name="Revenue Volume Effect"/>
    <x:tableColumn id="42" name="Revenue Price Effe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a9f052654044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a3c5fc667645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c1c1b2859be4fc4" /></Relationships>
</file>

<file path=xl/worksheets/sheet1.xml><?xml version="1.0" encoding="utf-8"?>
<x:worksheet xmlns:x="http://schemas.openxmlformats.org/spreadsheetml/2006/main">
  <x:sheetPr>
    <x:tabColor rgb="FF163A5F"/>
  </x:sheetPr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38" hidden="0" customWidth="1"/>
  </x:cols>
  <x:sheetData>
    <x:row r="1">
      <x:c r="A1" s="51"/>
      <x:c r="B1" s="51"/>
      <x:c r="C1" s="51"/>
      <x:c r="D1" s="51"/>
      <x:c r="E1" s="51"/>
      <x:c r="F1" s="51"/>
      <x:c r="G1" s="51"/>
    </x:row>
    <x:row r="2">
      <x:c r="A2" s="52" t="str">
        <x:v>Manufacturing Financial Analysis</x:v>
      </x:c>
      <x:c r="B2" s="53"/>
      <x:c r="C2" s="53"/>
      <x:c r="D2" s="53"/>
      <x:c r="E2" s="53"/>
      <x:c r="F2" s="53"/>
      <x:c r="G2" s="53"/>
    </x:row>
    <x:row r="3">
      <x:c r="A3" s="54" t="str">
        <x:v>Formula-driven Budget vs Actual summary | Synthetic Data / Simulated Company | 2025 | EUR</x:v>
      </x:c>
      <x:c r="B3" s="54"/>
      <x:c r="C3" s="54"/>
      <x:c r="D3" s="54"/>
      <x:c r="E3" s="54"/>
      <x:c r="F3" s="54"/>
      <x:c r="G3" s="54"/>
    </x:row>
    <x:row r="4">
      <x:c r="A4" s="51"/>
      <x:c r="B4" s="51"/>
      <x:c r="C4" s="51"/>
      <x:c r="D4" s="51"/>
      <x:c r="E4" s="51"/>
      <x:c r="F4" s="51"/>
      <x:c r="G4" s="51"/>
    </x:row>
    <x:row r="5">
      <x:c r="A5" s="15" t="str">
        <x:v>Metric</x:v>
      </x:c>
      <x:c r="B5" s="16" t="str">
        <x:v>Budget</x:v>
      </x:c>
      <x:c r="C5" s="16" t="str">
        <x:v>Actual</x:v>
      </x:c>
      <x:c r="D5" s="16" t="str">
        <x:v>Variance</x:v>
      </x:c>
      <x:c r="E5" s="16" t="str">
        <x:v>Variance %</x:v>
      </x:c>
      <x:c r="F5" s="16" t="str">
        <x:v>Unit</x:v>
      </x:c>
      <x:c r="G5" s="17" t="str">
        <x:v>Interpretation</x:v>
      </x:c>
    </x:row>
    <x:row r="6">
      <x:c r="A6" s="55" t="str">
        <x:v>Revenue</x:v>
      </x:c>
      <x:c r="B6" s="56" t="n">
        <x:f>SUM(Data!P6:P41)</x:f>
        <x:v>32864964.320000008</x:v>
      </x:c>
      <x:c r="C6" s="56" t="n">
        <x:f>SUM(Data!X6:X41)</x:f>
        <x:v>33881930.72</x:v>
      </x:c>
      <x:c r="D6" s="56" t="n">
        <x:f>C6-B6</x:f>
        <x:v>1016966.3999999911</x:v>
      </x:c>
      <x:c r="E6" s="57" t="n">
        <x:f>IF(B6=0,"",D6/ABS(B6))</x:f>
        <x:v>0.030943785305773637</x:v>
      </x:c>
      <x:c r="F6" s="55" t="str">
        <x:v>EUR</x:v>
      </x:c>
      <x:c r="G6" s="55" t="str">
        <x:v>Higher is favorable</x:v>
      </x:c>
    </x:row>
    <x:row r="7">
      <x:c r="A7" s="55" t="str">
        <x:v>COGS</x:v>
      </x:c>
      <x:c r="B7" s="56" t="n">
        <x:f>SUM(Data!U6:U41)</x:f>
        <x:v>22176631.070000004</x:v>
      </x:c>
      <x:c r="C7" s="56" t="n">
        <x:f>SUM(Data!AC6:AC41)</x:f>
        <x:v>23169053.860000003</x:v>
      </x:c>
      <x:c r="D7" s="56" t="n">
        <x:f>C7-B7</x:f>
        <x:v>992422.7899999991</x:v>
      </x:c>
      <x:c r="E7" s="57" t="n">
        <x:f>IF(B7=0,"",D7/ABS(B7))</x:f>
        <x:v>0.044750836448847454</x:v>
      </x:c>
      <x:c r="F7" s="55" t="str">
        <x:v>EUR</x:v>
      </x:c>
      <x:c r="G7" s="55" t="str">
        <x:v>Higher is unfavorable</x:v>
      </x:c>
    </x:row>
    <x:row r="8">
      <x:c r="A8" s="55" t="str">
        <x:v>Gross Profit</x:v>
      </x:c>
      <x:c r="B8" s="56" t="n">
        <x:f>SUM(Data!V6:V41)</x:f>
        <x:v>10688333.25</x:v>
      </x:c>
      <x:c r="C8" s="56" t="n">
        <x:f>SUM(Data!AD6:AD41)</x:f>
        <x:v>10712876.86</x:v>
      </x:c>
      <x:c r="D8" s="56" t="n">
        <x:f>C8-B8</x:f>
        <x:v>24543.609999999404</x:v>
      </x:c>
      <x:c r="E8" s="57" t="n">
        <x:f>IF(B8=0,"",D8/ABS(B8))</x:f>
        <x:v>0.0022962990978971773</x:v>
      </x:c>
      <x:c r="F8" s="55" t="str">
        <x:v>EUR</x:v>
      </x:c>
      <x:c r="G8" s="55" t="str">
        <x:v>Higher is favorable</x:v>
      </x:c>
    </x:row>
    <x:row r="9">
      <x:c r="A9" s="58" t="str">
        <x:v>Gross Margin</x:v>
      </x:c>
      <x:c r="B9" s="59" t="n">
        <x:f>IF(B6=0,"",B8/B6)</x:f>
        <x:v>0.325219682149346</x:v>
      </x:c>
      <x:c r="C9" s="59" t="n">
        <x:f>IF(C6=0,"",C8/C6)</x:f>
        <x:v>0.316182597400695</x:v>
      </x:c>
      <x:c r="D9" s="60" t="n">
        <x:f>IF(OR(B9="",C9=""),"",(C9-B9)*100)</x:f>
        <x:v>-0.9037084748651003</x:v>
      </x:c>
      <x:c r="E9" s="58" t="str">
        <x:f>""</x:f>
      </x:c>
      <x:c r="F9" s="58" t="str">
        <x:v>% / pp variance</x:v>
      </x:c>
      <x:c r="G9" s="58" t="str">
        <x:v>Positive percentage-point variance is favorable</x:v>
      </x:c>
    </x:row>
    <x:row r="10">
      <x:c r="A10" s="51"/>
      <x:c r="B10" s="51"/>
      <x:c r="C10" s="51"/>
      <x:c r="D10" s="51"/>
      <x:c r="E10" s="51"/>
      <x:c r="F10" s="51"/>
      <x:c r="G10" s="51"/>
    </x:row>
    <x:row r="11">
      <x:c r="A11" s="51"/>
      <x:c r="B11" s="51"/>
      <x:c r="C11" s="51"/>
      <x:c r="D11" s="51"/>
      <x:c r="E11" s="51"/>
      <x:c r="F11" s="51"/>
      <x:c r="G11" s="51"/>
    </x:row>
    <x:row r="12">
      <x:c r="A12" s="61" t="str">
        <x:v>Model guidance</x:v>
      </x:c>
      <x:c r="B12" s="62"/>
      <x:c r="C12" s="62"/>
      <x:c r="D12" s="62"/>
      <x:c r="E12" s="62"/>
      <x:c r="F12" s="62"/>
      <x:c r="G12" s="63"/>
    </x:row>
    <x:row r="13" ht="20" customHeight="1">
      <x:c r="A13" s="64" t="str">
        <x:v>Inputs</x:v>
      </x:c>
      <x:c r="B13" s="65" t="str">
        <x:v>Edit the blue volume, price and unit-cost cells on the Data sheet.</x:v>
      </x:c>
      <x:c r="C13" s="65"/>
      <x:c r="D13" s="65"/>
      <x:c r="E13" s="65"/>
      <x:c r="F13" s="65"/>
      <x:c r="G13" s="65"/>
    </x:row>
    <x:row r="14" ht="20" customHeight="1">
      <x:c r="A14" s="64" t="str">
        <x:v>Calculations</x:v>
      </x:c>
      <x:c r="B14" s="65" t="str">
        <x:v>Revenue, COGS, Gross Profit, Gross Margin and variances are calculated with Excel formulas.</x:v>
      </x:c>
      <x:c r="C14" s="65"/>
      <x:c r="D14" s="65"/>
      <x:c r="E14" s="65"/>
      <x:c r="F14" s="65"/>
      <x:c r="G14" s="65"/>
    </x:row>
    <x:row r="15" ht="20" customHeight="1">
      <x:c r="A15" s="66" t="str">
        <x:v>Precision</x:v>
      </x:c>
      <x:c r="B15" s="67" t="str">
        <x:v>Gross Margin uses aggregated Gross Profit divided by aggregated Revenue and displays two decimals.</x:v>
      </x:c>
      <x:c r="C15" s="67"/>
      <x:c r="D15" s="67"/>
      <x:c r="E15" s="67"/>
      <x:c r="F15" s="67"/>
      <x:c r="G15" s="6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17.780000686645508" hidden="0" customWidth="1"/>
    <x:col min="3" max="3" width="17.219999313354492" hidden="0" customWidth="1"/>
    <x:col min="4" max="4" width="14.4399995803833" hidden="0" customWidth="1"/>
    <x:col min="5" max="5" width="13.890000343322754" hidden="0" customWidth="1"/>
    <x:col min="6" max="6" width="17.559999465942383" hidden="0" customWidth="1"/>
    <x:col min="7" max="7" width="17" hidden="0" customWidth="1"/>
    <x:col min="8" max="8" width="16.110000610351562" hidden="0" customWidth="1"/>
    <x:col min="9" max="9" width="15.4399995803833" hidden="0" customWidth="1"/>
    <x:col min="10" max="10" width="25.670000076293945" hidden="0" customWidth="1"/>
    <x:col min="11" max="11" width="25.110000610351562" hidden="0" customWidth="1"/>
    <x:col min="12" max="12" width="12.5600004196167" hidden="0" customWidth="1"/>
    <x:col min="13" max="13" width="12" hidden="0" customWidth="1"/>
    <x:col min="14" max="14" width="16.780000686645508" hidden="0" customWidth="1"/>
    <x:col min="15" max="15" width="16.219999313354492" hidden="0" customWidth="1"/>
    <x:col min="16" max="16" width="19.110000610351562" hidden="0" customWidth="1"/>
    <x:col min="17" max="17" width="17.440000534057617" hidden="0" customWidth="1"/>
    <x:col min="18" max="18" width="15.4399995803833" hidden="0" customWidth="1"/>
    <x:col min="19" max="19" width="17.110000610351562" hidden="0" customWidth="1"/>
    <x:col min="20" max="20" width="13.5600004196167" hidden="0" customWidth="1"/>
    <x:col min="21" max="21" width="15.329999923706055" hidden="0" customWidth="1"/>
    <x:col min="22" max="22" width="17.780000686645508" hidden="0" customWidth="1"/>
    <x:col min="23" max="23" width="19.559999465942383" hidden="0" customWidth="1"/>
    <x:col min="24" max="24" width="17.780000686645508" hidden="0" customWidth="1"/>
    <x:col min="25" max="25" width="17.219999313354492" hidden="0" customWidth="1"/>
    <x:col min="26" max="26" width="22" hidden="0" customWidth="1"/>
    <x:col min="27" max="27" width="21.110000610351562" hidden="0" customWidth="1"/>
  </x:cols>
  <x:sheetData>
    <x:row r="2">
      <x:c r="A2" s="2" t="str">
        <x:v>Monthly Financial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>
      <x:c r="A3" s="3" t="str">
        <x:v>Formula-driven Budget vs Actual performance by month | Synthetic Data / Simulated Company | EUR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</x:row>
    <x:row r="5">
      <x:c r="A5" s="15" t="str">
        <x:v>Month</x:v>
      </x:c>
      <x:c r="B5" s="16" t="str">
        <x:v>Budget Sales Volume</x:v>
      </x:c>
      <x:c r="C5" s="16" t="str">
        <x:v>Actual Sales Volume</x:v>
      </x:c>
      <x:c r="D5" s="16" t="str">
        <x:v>Budget Revenue</x:v>
      </x:c>
      <x:c r="E5" s="16" t="str">
        <x:v>Actual Revenue</x:v>
      </x:c>
      <x:c r="F5" s="16" t="str">
        <x:v>Budget Material Cost</x:v>
      </x:c>
      <x:c r="G5" s="16" t="str">
        <x:v>Actual Material Cost</x:v>
      </x:c>
      <x:c r="H5" s="16" t="str">
        <x:v>Budget Labor Cost</x:v>
      </x:c>
      <x:c r="I5" s="16" t="str">
        <x:v>Actual Labor Cost</x:v>
      </x:c>
      <x:c r="J5" s="16" t="str">
        <x:v>Budget Manufacturing Overhead</x:v>
      </x:c>
      <x:c r="K5" s="16" t="str">
        <x:v>Actual Manufacturing Overhead</x:v>
      </x:c>
      <x:c r="L5" s="16" t="str">
        <x:v>Budget COGS</x:v>
      </x:c>
      <x:c r="M5" s="16" t="str">
        <x:v>Actual COGS</x:v>
      </x:c>
      <x:c r="N5" s="16" t="str">
        <x:v>Budget Gross Profit</x:v>
      </x:c>
      <x:c r="O5" s="16" t="str">
        <x:v>Actual Gross Profit</x:v>
      </x:c>
      <x:c r="P5" s="16" t="str">
        <x:v>Revenue Volume Effect</x:v>
      </x:c>
      <x:c r="Q5" s="16" t="str">
        <x:v>Revenue Price Effect</x:v>
      </x:c>
      <x:c r="R5" s="16" t="str">
        <x:v>Revenue Variance</x:v>
      </x:c>
      <x:c r="S5" s="16" t="str">
        <x:v>Revenue Variance %</x:v>
      </x:c>
      <x:c r="T5" s="16" t="str">
        <x:v>COGS Variance</x:v>
      </x:c>
      <x:c r="U5" s="16" t="str">
        <x:v>COGS Variance %</x:v>
      </x:c>
      <x:c r="V5" s="16" t="str">
        <x:v>Gross Profit Variance</x:v>
      </x:c>
      <x:c r="W5" s="16" t="str">
        <x:v>Gross Profit Variance %</x:v>
      </x:c>
      <x:c r="X5" s="16" t="str">
        <x:v>Budget Gross Margin</x:v>
      </x:c>
      <x:c r="Y5" s="16" t="str">
        <x:v>Actual Gross Margin</x:v>
      </x:c>
      <x:c r="Z5" s="16" t="str">
        <x:v>Gross Margin Variance (pp)</x:v>
      </x:c>
      <x:c r="AA5" s="17" t="str">
        <x:v>Actual Revenue Growth %</x:v>
      </x:c>
    </x:row>
    <x:row r="6">
      <x:c r="A6" s="23" t="str">
        <x:v>2025-01</x:v>
      </x:c>
      <x:c r="B6" s="29" t="n">
        <x:f>SUMIFS(Data!$F$6:$F$41,Data!$A$6:$A$41,$A6)</x:f>
        <x:v>29440</x:v>
      </x:c>
      <x:c r="C6" s="29" t="n">
        <x:f>SUMIFS(Data!$G$6:$G$41,Data!$A$6:$A$41,$A6)</x:f>
        <x:v>29753</x:v>
      </x:c>
      <x:c r="D6" s="26" t="n">
        <x:f>SUMIFS(Data!$P$6:$P$41,Data!$A$6:$A$41,$A6)</x:f>
        <x:v>2418220</x:v>
      </x:c>
      <x:c r="E6" s="26" t="n">
        <x:f>SUMIFS(Data!$X$6:$X$41,Data!$A$6:$A$41,$A6)</x:f>
        <x:v>2461982.1300000004</x:v>
      </x:c>
      <x:c r="F6" s="26" t="n">
        <x:f>SUMIFS(Data!$R$6:$R$41,Data!$A$6:$A$41,$A6)</x:f>
        <x:v>952200</x:v>
      </x:c>
      <x:c r="G6" s="26" t="n">
        <x:f>SUMIFS(Data!$Z$6:$Z$41,Data!$A$6:$A$41,$A6)</x:f>
        <x:v>957787.9500000001</x:v>
      </x:c>
      <x:c r="H6" s="26" t="n">
        <x:f>SUMIFS(Data!$S$6:$S$41,Data!$A$6:$A$41,$A6)</x:f>
        <x:v>364090</x:v>
      </x:c>
      <x:c r="I6" s="26" t="n">
        <x:f>SUMIFS(Data!$AA$6:$AA$41,Data!$A$6:$A$41,$A6)</x:f>
        <x:v>374516.86</x:v>
      </x:c>
      <x:c r="J6" s="21" t="n">
        <x:f>SUMIFS(Data!$T$6:$T$41,Data!$A$6:$A$41,$A6)</x:f>
        <x:v>313030</x:v>
      </x:c>
      <x:c r="K6" s="21" t="n">
        <x:f>SUMIFS(Data!$AB$6:$AB$41,Data!$A$6:$A$41,$A6)</x:f>
        <x:v>319335.82</x:v>
      </x:c>
      <x:c r="L6" s="26" t="n">
        <x:f>SUMIFS(Data!$U$6:$U$41,Data!$A$6:$A$41,$A6)</x:f>
        <x:v>1629320</x:v>
      </x:c>
      <x:c r="M6" s="26" t="n">
        <x:f>SUMIFS(Data!$AC$6:$AC$41,Data!$A$6:$A$41,$A6)</x:f>
        <x:v>1651640.6300000001</x:v>
      </x:c>
      <x:c r="N6" s="26" t="n">
        <x:f>SUMIFS(Data!$V$6:$V$41,Data!$A$6:$A$41,$A6)</x:f>
        <x:v>788900</x:v>
      </x:c>
      <x:c r="O6" s="26" t="n">
        <x:f>SUMIFS(Data!$AD$6:$AD$41,Data!$A$6:$A$41,$A6)</x:f>
        <x:v>810341.5000000001</x:v>
      </x:c>
      <x:c r="P6" s="26" t="n">
        <x:f>SUMIFS(Data!$AO$6:$AO$41,Data!$A$6:$A$41,$A6)</x:f>
        <x:v>27034</x:v>
      </x:c>
      <x:c r="Q6" s="26" t="n">
        <x:f>SUMIFS(Data!$AP$6:$AP$41,Data!$A$6:$A$41,$A6)</x:f>
        <x:v>16728.130000000132</x:v>
      </x:c>
      <x:c r="R6" s="26" t="n">
        <x:f>E6-D6</x:f>
        <x:v>43762.130000000354</x:v>
      </x:c>
      <x:c r="S6" s="30" t="n">
        <x:f>IF(D6=0,"",R6/ABS(D6))</x:f>
        <x:v>0.018096835689060696</x:v>
      </x:c>
      <x:c r="T6" s="26" t="n">
        <x:f>M6-L6</x:f>
        <x:v>22320.63000000012</x:v>
      </x:c>
      <x:c r="U6" s="30" t="n">
        <x:f>IF(L6=0,"",T6/ABS(L6))</x:f>
        <x:v>0.01369935310436263</x:v>
      </x:c>
      <x:c r="V6" s="26" t="n">
        <x:f>O6-N6</x:f>
        <x:v>21441.500000000116</x:v>
      </x:c>
      <x:c r="W6" s="30" t="n">
        <x:f>IF(N6=0,"",V6/ABS(N6))</x:f>
        <x:v>0.027178983394600224</x:v>
      </x:c>
      <x:c r="X6" s="28" t="n">
        <x:f>IF(D6=0,"",N6/D6)</x:f>
        <x:v>0.3262316910785619</x:v>
      </x:c>
      <x:c r="Y6" s="28" t="n">
        <x:f>IF(E6=0,"",O6/E6)</x:f>
        <x:v>0.32914190973433266</x:v>
      </x:c>
      <x:c r="Z6" s="26" t="n">
        <x:f>IF(OR(X6="",Y6=""),"",(Y6-X6)*100)</x:f>
        <x:v>0.29102186557707355</x:v>
      </x:c>
      <x:c r="AA6" s="30" t="str">
        <x:f>""</x:f>
      </x:c>
    </x:row>
    <x:row r="7">
      <x:c r="A7" s="23" t="str">
        <x:v>2025-02</x:v>
      </x:c>
      <x:c r="B7" s="29" t="n">
        <x:f>SUMIFS(Data!$F$6:$F$41,Data!$A$6:$A$41,$A7)</x:f>
        <x:v>30487</x:v>
      </x:c>
      <x:c r="C7" s="29" t="n">
        <x:f>SUMIFS(Data!$G$6:$G$41,Data!$A$6:$A$41,$A7)</x:f>
        <x:v>30222</x:v>
      </x:c>
      <x:c r="D7" s="26" t="n">
        <x:f>SUMIFS(Data!$P$6:$P$41,Data!$A$6:$A$41,$A7)</x:f>
        <x:v>2509627.78</x:v>
      </x:c>
      <x:c r="E7" s="26" t="n">
        <x:f>SUMIFS(Data!$X$6:$X$41,Data!$A$6:$A$41,$A7)</x:f>
        <x:v>2498740.78</x:v>
      </x:c>
      <x:c r="F7" s="26" t="n">
        <x:f>SUMIFS(Data!$R$6:$R$41,Data!$A$6:$A$41,$A7)</x:f>
        <x:v>988538.04</x:v>
      </x:c>
      <x:c r="G7" s="26" t="n">
        <x:f>SUMIFS(Data!$Z$6:$Z$41,Data!$A$6:$A$41,$A7)</x:f>
        <x:v>990677.55</x:v>
      </x:c>
      <x:c r="H7" s="26" t="n">
        <x:f>SUMIFS(Data!$S$6:$S$41,Data!$A$6:$A$41,$A7)</x:f>
        <x:v>377965.29000000004</x:v>
      </x:c>
      <x:c r="I7" s="26" t="n">
        <x:f>SUMIFS(Data!$AA$6:$AA$41,Data!$A$6:$A$41,$A7)</x:f>
        <x:v>383071.43999999994</x:v>
      </x:c>
      <x:c r="J7" s="21" t="n">
        <x:f>SUMIFS(Data!$T$6:$T$41,Data!$A$6:$A$41,$A7)</x:f>
        <x:v>324772.1</x:v>
      </x:c>
      <x:c r="K7" s="21" t="n">
        <x:f>SUMIFS(Data!$AB$6:$AB$41,Data!$A$6:$A$41,$A7)</x:f>
        <x:v>327802.52</x:v>
      </x:c>
      <x:c r="L7" s="26" t="n">
        <x:f>SUMIFS(Data!$U$6:$U$41,Data!$A$6:$A$41,$A7)</x:f>
        <x:v>1691275.4300000002</x:v>
      </x:c>
      <x:c r="M7" s="26" t="n">
        <x:f>SUMIFS(Data!$AC$6:$AC$41,Data!$A$6:$A$41,$A7)</x:f>
        <x:v>1701551.5100000002</x:v>
      </x:c>
      <x:c r="N7" s="26" t="n">
        <x:f>SUMIFS(Data!$V$6:$V$41,Data!$A$6:$A$41,$A7)</x:f>
        <x:v>818352.3499999997</x:v>
      </x:c>
      <x:c r="O7" s="26" t="n">
        <x:f>SUMIFS(Data!$AD$6:$AD$41,Data!$A$6:$A$41,$A7)</x:f>
        <x:v>797189.2699999999</x:v>
      </x:c>
      <x:c r="P7" s="26" t="n">
        <x:f>SUMIFS(Data!$AO$6:$AO$41,Data!$A$6:$A$41,$A7)</x:f>
        <x:v>-10364.609999999997</x:v>
      </x:c>
      <x:c r="Q7" s="26" t="n">
        <x:f>SUMIFS(Data!$AP$6:$AP$41,Data!$A$6:$A$41,$A7)</x:f>
        <x:v>-522.3899999999676</x:v>
      </x:c>
      <x:c r="R7" s="26" t="n">
        <x:f>E7-D7</x:f>
        <x:v>-10887</x:v>
      </x:c>
      <x:c r="S7" s="30" t="n">
        <x:f>IF(D7=0,"",R7/ABS(D7))</x:f>
        <x:v>-0.0043380935160033975</x:v>
      </x:c>
      <x:c r="T7" s="26" t="n">
        <x:f>M7-L7</x:f>
        <x:v>10276.080000000075</x:v>
      </x:c>
      <x:c r="U7" s="30" t="n">
        <x:f>IF(L7=0,"",T7/ABS(L7))</x:f>
        <x:v>0.006075935248465162</x:v>
      </x:c>
      <x:c r="V7" s="26" t="n">
        <x:f>O7-N7</x:f>
        <x:v>-21163.07999999984</x:v>
      </x:c>
      <x:c r="W7" s="30" t="n">
        <x:f>IF(N7=0,"",V7/ABS(N7))</x:f>
        <x:v>-0.025860596599985138</x:v>
      </x:c>
      <x:c r="X7" s="28" t="n">
        <x:f>IF(D7=0,"",N7/D7)</x:f>
        <x:v>0.3260851495674788</x:v>
      </x:c>
      <x:c r="Y7" s="28" t="n">
        <x:f>IF(E7=0,"",O7/E7)</x:f>
        <x:v>0.3190364028076574</x:v>
      </x:c>
      <x:c r="Z7" s="26" t="n">
        <x:f>IF(OR(X7="",Y7=""),"",(Y7-X7)*100)</x:f>
        <x:v>-0.7048746759821423</x:v>
      </x:c>
      <x:c r="AA7" s="30" t="n">
        <x:f>IF(E6=0,"",E7/E6-1)</x:f>
        <x:v>0.014930510482624504</x:v>
      </x:c>
    </x:row>
    <x:row r="8">
      <x:c r="A8" s="23" t="str">
        <x:v>2025-03</x:v>
      </x:c>
      <x:c r="B8" s="29" t="n">
        <x:f>SUMIFS(Data!$F$6:$F$41,Data!$A$6:$A$41,$A8)</x:f>
        <x:v>32181</x:v>
      </x:c>
      <x:c r="C8" s="29" t="n">
        <x:f>SUMIFS(Data!$G$6:$G$41,Data!$A$6:$A$41,$A8)</x:f>
        <x:v>32270</x:v>
      </x:c>
      <x:c r="D8" s="26" t="n">
        <x:f>SUMIFS(Data!$P$6:$P$41,Data!$A$6:$A$41,$A8)</x:f>
        <x:v>2654724.9000000004</x:v>
      </x:c>
      <x:c r="E8" s="26" t="n">
        <x:f>SUMIFS(Data!$X$6:$X$41,Data!$A$6:$A$41,$A8)</x:f>
        <x:v>2679627.26</x:v>
      </x:c>
      <x:c r="F8" s="26" t="n">
        <x:f>SUMIFS(Data!$R$6:$R$41,Data!$A$6:$A$41,$A8)</x:f>
        <x:v>1046166.93</x:v>
      </x:c>
      <x:c r="G8" s="26" t="n">
        <x:f>SUMIFS(Data!$Z$6:$Z$41,Data!$A$6:$A$41,$A8)</x:f>
        <x:v>1066673.19</x:v>
      </x:c>
      <x:c r="H8" s="26" t="n">
        <x:f>SUMIFS(Data!$S$6:$S$41,Data!$A$6:$A$41,$A8)</x:f>
        <x:v>400050.39</x:v>
      </x:c>
      <x:c r="I8" s="26" t="n">
        <x:f>SUMIFS(Data!$AA$6:$AA$41,Data!$A$6:$A$41,$A8)</x:f>
        <x:v>408977.93</x:v>
      </x:c>
      <x:c r="J8" s="21" t="n">
        <x:f>SUMIFS(Data!$T$6:$T$41,Data!$A$6:$A$41,$A8)</x:f>
        <x:v>343496.1</x:v>
      </x:c>
      <x:c r="K8" s="21" t="n">
        <x:f>SUMIFS(Data!$AB$6:$AB$41,Data!$A$6:$A$41,$A8)</x:f>
        <x:v>347445.93000000005</x:v>
      </x:c>
      <x:c r="L8" s="26" t="n">
        <x:f>SUMIFS(Data!$U$6:$U$41,Data!$A$6:$A$41,$A8)</x:f>
        <x:v>1789713.42</x:v>
      </x:c>
      <x:c r="M8" s="26" t="n">
        <x:f>SUMIFS(Data!$AC$6:$AC$41,Data!$A$6:$A$41,$A8)</x:f>
        <x:v>1823097.05</x:v>
      </x:c>
      <x:c r="N8" s="26" t="n">
        <x:f>SUMIFS(Data!$V$6:$V$41,Data!$A$6:$A$41,$A8)</x:f>
        <x:v>865011.4800000002</x:v>
      </x:c>
      <x:c r="O8" s="26" t="n">
        <x:f>SUMIFS(Data!$AD$6:$AD$41,Data!$A$6:$A$41,$A8)</x:f>
        <x:v>856530.21</x:v>
      </x:c>
      <x:c r="P8" s="26" t="n">
        <x:f>SUMIFS(Data!$AO$6:$AO$41,Data!$A$6:$A$41,$A8)</x:f>
        <x:v>16325.059999999994</x:v>
      </x:c>
      <x:c r="Q8" s="26" t="n">
        <x:f>SUMIFS(Data!$AP$6:$AP$41,Data!$A$6:$A$41,$A8)</x:f>
        <x:v>8577.299999999963</x:v>
      </x:c>
      <x:c r="R8" s="26" t="n">
        <x:f>E8-D8</x:f>
        <x:v>24902.359999999404</x:v>
      </x:c>
      <x:c r="S8" s="30" t="n">
        <x:f>IF(D8=0,"",R8/ABS(D8))</x:f>
        <x:v>0.009380391919328214</x:v>
      </x:c>
      <x:c r="T8" s="26" t="n">
        <x:f>M8-L8</x:f>
        <x:v>33383.63000000012</x:v>
      </x:c>
      <x:c r="U8" s="30" t="n">
        <x:f>IF(L8=0,"",T8/ABS(L8))</x:f>
        <x:v>0.018653058990863534</x:v>
      </x:c>
      <x:c r="V8" s="26" t="n">
        <x:f>O8-N8</x:f>
        <x:v>-8481.270000000251</x:v>
      </x:c>
      <x:c r="W8" s="30" t="n">
        <x:f>IF(N8=0,"",V8/ABS(N8))</x:f>
        <x:v>-0.009804806289969988</x:v>
      </x:c>
      <x:c r="X8" s="28" t="n">
        <x:f>IF(D8=0,"",N8/D8)</x:f>
        <x:v>0.32583846258420224</x:v>
      </x:c>
      <x:c r="Y8" s="28" t="n">
        <x:f>IF(E8=0,"",O8/E8)</x:f>
        <x:v>0.3196452815605406</x:v>
      </x:c>
      <x:c r="Z8" s="26" t="n">
        <x:f>IF(OR(X8="",Y8=""),"",(Y8-X8)*100)</x:f>
        <x:v>-0.619318102366162</x:v>
      </x:c>
      <x:c r="AA8" s="30" t="n">
        <x:f>IF(E7=0,"",E8/E7-1)</x:f>
        <x:v>0.0723910545054618</x:v>
      </x:c>
    </x:row>
    <x:row r="9">
      <x:c r="A9" s="23" t="str">
        <x:v>2025-04</x:v>
      </x:c>
      <x:c r="B9" s="29" t="n">
        <x:f>SUMIFS(Data!$F$6:$F$41,Data!$A$6:$A$41,$A9)</x:f>
        <x:v>33240</x:v>
      </x:c>
      <x:c r="C9" s="29" t="n">
        <x:f>SUMIFS(Data!$G$6:$G$41,Data!$A$6:$A$41,$A9)</x:f>
        <x:v>33462</x:v>
      </x:c>
      <x:c r="D9" s="26" t="n">
        <x:f>SUMIFS(Data!$P$6:$P$41,Data!$A$6:$A$41,$A9)</x:f>
        <x:v>2748052.36</x:v>
      </x:c>
      <x:c r="E9" s="26" t="n">
        <x:f>SUMIFS(Data!$X$6:$X$41,Data!$A$6:$A$41,$A9)</x:f>
        <x:v>2793055.06</x:v>
      </x:c>
      <x:c r="F9" s="26" t="n">
        <x:f>SUMIFS(Data!$R$6:$R$41,Data!$A$6:$A$41,$A9)</x:f>
        <x:v>1083286.7</x:v>
      </x:c>
      <x:c r="G9" s="26" t="n">
        <x:f>SUMIFS(Data!$Z$6:$Z$41,Data!$A$6:$A$41,$A9)</x:f>
        <x:v>1126596.3</x:v>
      </x:c>
      <x:c r="H9" s="26" t="n">
        <x:f>SUMIFS(Data!$S$6:$S$41,Data!$A$6:$A$41,$A9)</x:f>
        <x:v>414224.66</x:v>
      </x:c>
      <x:c r="I9" s="26" t="n">
        <x:f>SUMIFS(Data!$AA$6:$AA$41,Data!$A$6:$A$41,$A9)</x:f>
        <x:v>427212.33999999997</x:v>
      </x:c>
      <x:c r="J9" s="21" t="n">
        <x:f>SUMIFS(Data!$T$6:$T$41,Data!$A$6:$A$41,$A9)</x:f>
        <x:v>355307.57999999996</x:v>
      </x:c>
      <x:c r="K9" s="21" t="n">
        <x:f>SUMIFS(Data!$AB$6:$AB$41,Data!$A$6:$A$41,$A9)</x:f>
        <x:v>364432.86</x:v>
      </x:c>
      <x:c r="L9" s="26" t="n">
        <x:f>SUMIFS(Data!$U$6:$U$41,Data!$A$6:$A$41,$A9)</x:f>
        <x:v>1852818.94</x:v>
      </x:c>
      <x:c r="M9" s="26" t="n">
        <x:f>SUMIFS(Data!$AC$6:$AC$41,Data!$A$6:$A$41,$A9)</x:f>
        <x:v>1918241.5</x:v>
      </x:c>
      <x:c r="N9" s="26" t="n">
        <x:f>SUMIFS(Data!$V$6:$V$41,Data!$A$6:$A$41,$A9)</x:f>
        <x:v>895233.4199999998</x:v>
      </x:c>
      <x:c r="O9" s="26" t="n">
        <x:f>SUMIFS(Data!$AD$6:$AD$41,Data!$A$6:$A$41,$A9)</x:f>
        <x:v>874813.56</x:v>
      </x:c>
      <x:c r="P9" s="26" t="n">
        <x:f>SUMIFS(Data!$AO$6:$AO$41,Data!$A$6:$A$41,$A9)</x:f>
        <x:v>37482.96</x:v>
      </x:c>
      <x:c r="Q9" s="26" t="n">
        <x:f>SUMIFS(Data!$AP$6:$AP$41,Data!$A$6:$A$41,$A9)</x:f>
        <x:v>7519.740000000071</x:v>
      </x:c>
      <x:c r="R9" s="26" t="n">
        <x:f>E9-D9</x:f>
        <x:v>45002.700000000186</x:v>
      </x:c>
      <x:c r="S9" s="30" t="n">
        <x:f>IF(D9=0,"",R9/ABS(D9))</x:f>
        <x:v>0.016376216354189187</x:v>
      </x:c>
      <x:c r="T9" s="26" t="n">
        <x:f>M9-L9</x:f>
        <x:v>65422.560000000056</x:v>
      </x:c>
      <x:c r="U9" s="30" t="n">
        <x:f>IF(L9=0,"",T9/ABS(L9))</x:f>
        <x:v>0.035309742677824774</x:v>
      </x:c>
      <x:c r="V9" s="26" t="n">
        <x:f>O9-N9</x:f>
        <x:v>-20419.859999999753</x:v>
      </x:c>
      <x:c r="W9" s="30" t="n">
        <x:f>IF(N9=0,"",V9/ABS(N9))</x:f>
        <x:v>-0.022809537204274342</x:v>
      </x:c>
      <x:c r="X9" s="28" t="n">
        <x:f>IF(D9=0,"",N9/D9)</x:f>
        <x:v>0.32577014653388914</x:v>
      </x:c>
      <x:c r="Y9" s="28" t="n">
        <x:f>IF(E9=0,"",O9/E9)</x:f>
        <x:v>0.31321028093159037</x:v>
      </x:c>
      <x:c r="Z9" s="26" t="n">
        <x:f>IF(OR(X9="",Y9=""),"",(Y9-X9)*100)</x:f>
        <x:v>-1.255986560229877</x:v>
      </x:c>
      <x:c r="AA9" s="30" t="n">
        <x:f>IF(E8=0,"",E9/E8-1)</x:f>
        <x:v>0.04232969327233982</x:v>
      </x:c>
    </x:row>
    <x:row r="10">
      <x:c r="A10" s="23" t="str">
        <x:v>2025-05</x:v>
      </x:c>
      <x:c r="B10" s="29" t="n">
        <x:f>SUMIFS(Data!$F$6:$F$41,Data!$A$6:$A$41,$A10)</x:f>
        <x:v>33980</x:v>
      </x:c>
      <x:c r="C10" s="29" t="n">
        <x:f>SUMIFS(Data!$G$6:$G$41,Data!$A$6:$A$41,$A10)</x:f>
        <x:v>33795</x:v>
      </x:c>
      <x:c r="D10" s="26" t="n">
        <x:f>SUMIFS(Data!$P$6:$P$41,Data!$A$6:$A$41,$A10)</x:f>
        <x:v>2815236.67</x:v>
      </x:c>
      <x:c r="E10" s="26" t="n">
        <x:f>SUMIFS(Data!$X$6:$X$41,Data!$A$6:$A$41,$A10)</x:f>
        <x:v>2859400.0300000003</x:v>
      </x:c>
      <x:c r="F10" s="26" t="n">
        <x:f>SUMIFS(Data!$R$6:$R$41,Data!$A$6:$A$41,$A10)</x:f>
        <x:v>1110312.5299999998</x:v>
      </x:c>
      <x:c r="G10" s="26" t="n">
        <x:f>SUMIFS(Data!$Z$6:$Z$41,Data!$A$6:$A$41,$A10)</x:f>
        <x:v>1171098.4000000001</x:v>
      </x:c>
      <x:c r="H10" s="26" t="n">
        <x:f>SUMIFS(Data!$S$6:$S$41,Data!$A$6:$A$41,$A10)</x:f>
        <x:v>424706.43000000005</x:v>
      </x:c>
      <x:c r="I10" s="26" t="n">
        <x:f>SUMIFS(Data!$AA$6:$AA$41,Data!$A$6:$A$41,$A10)</x:f>
        <x:v>436710.37</x:v>
      </x:c>
      <x:c r="J10" s="21" t="n">
        <x:f>SUMIFS(Data!$T$6:$T$41,Data!$A$6:$A$41,$A10)</x:f>
        <x:v>363894.84</x:v>
      </x:c>
      <x:c r="K10" s="21" t="n">
        <x:f>SUMIFS(Data!$AB$6:$AB$41,Data!$A$6:$A$41,$A10)</x:f>
        <x:v>369750.31</x:v>
      </x:c>
      <x:c r="L10" s="26" t="n">
        <x:f>SUMIFS(Data!$U$6:$U$41,Data!$A$6:$A$41,$A10)</x:f>
        <x:v>1898913.8</x:v>
      </x:c>
      <x:c r="M10" s="26" t="n">
        <x:f>SUMIFS(Data!$AC$6:$AC$41,Data!$A$6:$A$41,$A10)</x:f>
        <x:v>1977559.08</x:v>
      </x:c>
      <x:c r="N10" s="26" t="n">
        <x:f>SUMIFS(Data!$V$6:$V$41,Data!$A$6:$A$41,$A10)</x:f>
        <x:v>916322.8699999999</x:v>
      </x:c>
      <x:c r="O10" s="26" t="n">
        <x:f>SUMIFS(Data!$AD$6:$AD$41,Data!$A$6:$A$41,$A10)</x:f>
        <x:v>881840.9499999998</x:v>
      </x:c>
      <x:c r="P10" s="26" t="n">
        <x:f>SUMIFS(Data!$AO$6:$AO$41,Data!$A$6:$A$41,$A10)</x:f>
        <x:v>31294.599999999995</x:v>
      </x:c>
      <x:c r="Q10" s="26" t="n">
        <x:f>SUMIFS(Data!$AP$6:$AP$41,Data!$A$6:$A$41,$A10)</x:f>
        <x:v>12868.7599999999</x:v>
      </x:c>
      <x:c r="R10" s="26" t="n">
        <x:f>E10-D10</x:f>
        <x:v>44163.360000000335</x:v>
      </x:c>
      <x:c r="S10" s="30" t="n">
        <x:f>IF(D10=0,"",R10/ABS(D10))</x:f>
        <x:v>0.015687263692824922</x:v>
      </x:c>
      <x:c r="T10" s="26" t="n">
        <x:f>M10-L10</x:f>
        <x:v>78645.28000000003</x:v>
      </x:c>
      <x:c r="U10" s="30" t="n">
        <x:f>IF(L10=0,"",T10/ABS(L10))</x:f>
        <x:v>0.041415929464518095</x:v>
      </x:c>
      <x:c r="V10" s="26" t="n">
        <x:f>O10-N10</x:f>
        <x:v>-34481.92000000004</x:v>
      </x:c>
      <x:c r="W10" s="30" t="n">
        <x:f>IF(N10=0,"",V10/ABS(N10))</x:f>
        <x:v>-0.03763075344829061</x:v>
      </x:c>
      <x:c r="X10" s="28" t="n">
        <x:f>IF(D10=0,"",N10/D10)</x:f>
        <x:v>0.3254869758427805</x:v>
      </x:c>
      <x:c r="Y10" s="28" t="n">
        <x:f>IF(E10=0,"",O10/E10)</x:f>
        <x:v>0.3084006927145482</x:v>
      </x:c>
      <x:c r="Z10" s="26" t="n">
        <x:f>IF(OR(X10="",Y10=""),"",(Y10-X10)*100)</x:f>
        <x:v>-1.708628312823235</x:v>
      </x:c>
      <x:c r="AA10" s="30" t="n">
        <x:f>IF(E9=0,"",E10/E9-1)</x:f>
        <x:v>0.023753548918580947</x:v>
      </x:c>
    </x:row>
    <x:row r="11">
      <x:c r="A11" s="23" t="str">
        <x:v>2025-06</x:v>
      </x:c>
      <x:c r="B11" s="29" t="n">
        <x:f>SUMIFS(Data!$F$6:$F$41,Data!$A$6:$A$41,$A11)</x:f>
        <x:v>34399</x:v>
      </x:c>
      <x:c r="C11" s="29" t="n">
        <x:f>SUMIFS(Data!$G$6:$G$41,Data!$A$6:$A$41,$A11)</x:f>
        <x:v>34566</x:v>
      </x:c>
      <x:c r="D11" s="26" t="n">
        <x:f>SUMIFS(Data!$P$6:$P$41,Data!$A$6:$A$41,$A11)</x:f>
        <x:v>2855985.86</x:v>
      </x:c>
      <x:c r="E11" s="26" t="n">
        <x:f>SUMIFS(Data!$X$6:$X$41,Data!$A$6:$A$41,$A11)</x:f>
        <x:v>2932017.08</x:v>
      </x:c>
      <x:c r="F11" s="26" t="n">
        <x:f>SUMIFS(Data!$R$6:$R$41,Data!$A$6:$A$41,$A11)</x:f>
        <x:v>1126659.0799999998</x:v>
      </x:c>
      <x:c r="G11" s="26" t="n">
        <x:f>SUMIFS(Data!$Z$6:$Z$41,Data!$A$6:$A$41,$A11)</x:f>
        <x:v>1202223</x:v>
      </x:c>
      <x:c r="H11" s="26" t="n">
        <x:f>SUMIFS(Data!$S$6:$S$41,Data!$A$6:$A$41,$A11)</x:f>
        <x:v>430870.8900000001</x:v>
      </x:c>
      <x:c r="I11" s="26" t="n">
        <x:f>SUMIFS(Data!$AA$6:$AA$41,Data!$A$6:$A$41,$A11)</x:f>
        <x:v>447351.42</x:v>
      </x:c>
      <x:c r="J11" s="21" t="n">
        <x:f>SUMIFS(Data!$T$6:$T$41,Data!$A$6:$A$41,$A11)</x:f>
        <x:v>369176.44</x:v>
      </x:c>
      <x:c r="K11" s="21" t="n">
        <x:f>SUMIFS(Data!$AB$6:$AB$41,Data!$A$6:$A$41,$A11)</x:f>
        <x:v>376139.18</x:v>
      </x:c>
      <x:c r="L11" s="26" t="n">
        <x:f>SUMIFS(Data!$U$6:$U$41,Data!$A$6:$A$41,$A11)</x:f>
        <x:v>1926706.41</x:v>
      </x:c>
      <x:c r="M11" s="26" t="n">
        <x:f>SUMIFS(Data!$AC$6:$AC$41,Data!$A$6:$A$41,$A11)</x:f>
        <x:v>2025713.6</x:v>
      </x:c>
      <x:c r="N11" s="26" t="n">
        <x:f>SUMIFS(Data!$V$6:$V$41,Data!$A$6:$A$41,$A11)</x:f>
        <x:v>929279.45</x:v>
      </x:c>
      <x:c r="O11" s="26" t="n">
        <x:f>SUMIFS(Data!$AD$6:$AD$41,Data!$A$6:$A$41,$A11)</x:f>
        <x:v>906303.4800000001</x:v>
      </x:c>
      <x:c r="P11" s="26" t="n">
        <x:f>SUMIFS(Data!$AO$6:$AO$41,Data!$A$6:$A$41,$A11)</x:f>
        <x:v>54688.94</x:v>
      </x:c>
      <x:c r="Q11" s="26" t="n">
        <x:f>SUMIFS(Data!$AP$6:$AP$41,Data!$A$6:$A$41,$A11)</x:f>
        <x:v>21342.28000000018</x:v>
      </x:c>
      <x:c r="R11" s="26" t="n">
        <x:f>E11-D11</x:f>
        <x:v>76031.2200000002</x:v>
      </x:c>
      <x:c r="S11" s="30" t="n">
        <x:f>IF(D11=0,"",R11/ABS(D11))</x:f>
        <x:v>0.026621707433803685</x:v>
      </x:c>
      <x:c r="T11" s="26" t="n">
        <x:f>M11-L11</x:f>
        <x:v>99007.19000000018</x:v>
      </x:c>
      <x:c r="U11" s="30" t="n">
        <x:f>IF(L11=0,"",T11/ABS(L11))</x:f>
        <x:v>0.051386754871490865</x:v>
      </x:c>
      <x:c r="V11" s="26" t="n">
        <x:f>O11-N11</x:f>
        <x:v>-22975.969999999856</x:v>
      </x:c>
      <x:c r="W11" s="30" t="n">
        <x:f>IF(N11=0,"",V11/ABS(N11))</x:f>
        <x:v>-0.024724500256623407</x:v>
      </x:c>
      <x:c r="X11" s="28" t="n">
        <x:f>IF(D11=0,"",N11/D11)</x:f>
        <x:v>0.3253795696313426</x:v>
      </x:c>
      <x:c r="Y11" s="28" t="n">
        <x:f>IF(E11=0,"",O11/E11)</x:f>
        <x:v>0.30910579825135265</x:v>
      </x:c>
      <x:c r="Z11" s="26" t="n">
        <x:f>IF(OR(X11="",Y11=""),"",(Y11-X11)*100)</x:f>
        <x:v>-1.6273771379989976</x:v>
      </x:c>
      <x:c r="AA11" s="30" t="n">
        <x:f>IF(E10=0,"",E11/E10-1)</x:f>
        <x:v>0.02539590446881257</x:v>
      </x:c>
    </x:row>
    <x:row r="12">
      <x:c r="A12" s="23" t="str">
        <x:v>2025-07</x:v>
      </x:c>
      <x:c r="B12" s="29" t="n">
        <x:f>SUMIFS(Data!$F$6:$F$41,Data!$A$6:$A$41,$A12)</x:f>
        <x:v>32868</x:v>
      </x:c>
      <x:c r="C12" s="29" t="n">
        <x:f>SUMIFS(Data!$G$6:$G$41,Data!$A$6:$A$41,$A12)</x:f>
        <x:v>33897</x:v>
      </x:c>
      <x:c r="D12" s="26" t="n">
        <x:f>SUMIFS(Data!$P$6:$P$41,Data!$A$6:$A$41,$A12)</x:f>
        <x:v>2734659.7399999998</x:v>
      </x:c>
      <x:c r="E12" s="26" t="n">
        <x:f>SUMIFS(Data!$X$6:$X$41,Data!$A$6:$A$41,$A12)</x:f>
        <x:v>2861888.2</x:v>
      </x:c>
      <x:c r="F12" s="26" t="n">
        <x:f>SUMIFS(Data!$R$6:$R$41,Data!$A$6:$A$41,$A12)</x:f>
        <x:v>1079392.85</x:v>
      </x:c>
      <x:c r="G12" s="26" t="n">
        <x:f>SUMIFS(Data!$Z$6:$Z$41,Data!$A$6:$A$41,$A12)</x:f>
        <x:v>1176900.01</x:v>
      </x:c>
      <x:c r="H12" s="26" t="n">
        <x:f>SUMIFS(Data!$S$6:$S$41,Data!$A$6:$A$41,$A12)</x:f>
        <x:v>412912.9</x:v>
      </x:c>
      <x:c r="I12" s="26" t="n">
        <x:f>SUMIFS(Data!$AA$6:$AA$41,Data!$A$6:$A$41,$A12)</x:f>
        <x:v>440161.15</x:v>
      </x:c>
      <x:c r="J12" s="21" t="n">
        <x:f>SUMIFS(Data!$T$6:$T$41,Data!$A$6:$A$41,$A12)</x:f>
        <x:v>353331.35000000003</x:v>
      </x:c>
      <x:c r="K12" s="21" t="n">
        <x:f>SUMIFS(Data!$AB$6:$AB$41,Data!$A$6:$A$41,$A12)</x:f>
        <x:v>366105.93000000005</x:v>
      </x:c>
      <x:c r="L12" s="26" t="n">
        <x:f>SUMIFS(Data!$U$6:$U$41,Data!$A$6:$A$41,$A12)</x:f>
        <x:v>1845637.1</x:v>
      </x:c>
      <x:c r="M12" s="26" t="n">
        <x:f>SUMIFS(Data!$AC$6:$AC$41,Data!$A$6:$A$41,$A12)</x:f>
        <x:v>1983167.0899999999</x:v>
      </x:c>
      <x:c r="N12" s="26" t="n">
        <x:f>SUMIFS(Data!$V$6:$V$41,Data!$A$6:$A$41,$A12)</x:f>
        <x:v>889022.6399999999</x:v>
      </x:c>
      <x:c r="O12" s="26" t="n">
        <x:f>SUMIFS(Data!$AD$6:$AD$41,Data!$A$6:$A$41,$A12)</x:f>
        <x:v>878721.1099999999</x:v>
      </x:c>
      <x:c r="P12" s="26" t="n">
        <x:f>SUMIFS(Data!$AO$6:$AO$41,Data!$A$6:$A$41,$A12)</x:f>
        <x:v>114005.4</x:v>
      </x:c>
      <x:c r="Q12" s="26" t="n">
        <x:f>SUMIFS(Data!$AP$6:$AP$41,Data!$A$6:$A$41,$A12)</x:f>
        <x:v>13223.060000000114</x:v>
      </x:c>
      <x:c r="R12" s="26" t="n">
        <x:f>E12-D12</x:f>
        <x:v>127228.46000000043</x:v>
      </x:c>
      <x:c r="S12" s="30" t="n">
        <x:f>IF(D12=0,"",R12/ABS(D12))</x:f>
        <x:v>0.046524420621338596</x:v>
      </x:c>
      <x:c r="T12" s="26" t="n">
        <x:f>M12-L12</x:f>
        <x:v>137529.98999999976</x:v>
      </x:c>
      <x:c r="U12" s="30" t="n">
        <x:f>IF(L12=0,"",T12/ABS(L12))</x:f>
        <x:v>0.0745162686640834</x:v>
      </x:c>
      <x:c r="V12" s="26" t="n">
        <x:f>O12-N12</x:f>
        <x:v>-10301.530000000028</x:v>
      </x:c>
      <x:c r="W12" s="30" t="n">
        <x:f>IF(N12=0,"",V12/ABS(N12))</x:f>
        <x:v>-0.011587477682233187</x:v>
      </x:c>
      <x:c r="X12" s="28" t="n">
        <x:f>IF(D12=0,"",N12/D12)</x:f>
        <x:v>0.32509442655560505</x:v>
      </x:c>
      <x:c r="Y12" s="28" t="n">
        <x:f>IF(E12=0,"",O12/E12)</x:f>
        <x:v>0.3070424309377284</x:v>
      </x:c>
      <x:c r="Z12" s="26" t="n">
        <x:f>IF(OR(X12="",Y12=""),"",(Y12-X12)*100)</x:f>
        <x:v>-1.8051995617876682</x:v>
      </x:c>
      <x:c r="AA12" s="30" t="n">
        <x:f>IF(E11=0,"",E12/E11-1)</x:f>
        <x:v>-0.02391830541451001</x:v>
      </x:c>
    </x:row>
    <x:row r="13">
      <x:c r="A13" s="23" t="str">
        <x:v>2025-08</x:v>
      </x:c>
      <x:c r="B13" s="29" t="n">
        <x:f>SUMIFS(Data!$F$6:$F$41,Data!$A$6:$A$41,$A13)</x:f>
        <x:v>28717</x:v>
      </x:c>
      <x:c r="C13" s="29" t="n">
        <x:f>SUMIFS(Data!$G$6:$G$41,Data!$A$6:$A$41,$A13)</x:f>
        <x:v>29041</x:v>
      </x:c>
      <x:c r="D13" s="26" t="n">
        <x:f>SUMIFS(Data!$P$6:$P$41,Data!$A$6:$A$41,$A13)</x:f>
        <x:v>2394441.46</x:v>
      </x:c>
      <x:c r="E13" s="26" t="n">
        <x:f>SUMIFS(Data!$X$6:$X$41,Data!$A$6:$A$41,$A13)</x:f>
        <x:v>2470156.49</x:v>
      </x:c>
      <x:c r="F13" s="26" t="n">
        <x:f>SUMIFS(Data!$R$6:$R$41,Data!$A$6:$A$41,$A13)</x:f>
        <x:v>945375.79</x:v>
      </x:c>
      <x:c r="G13" s="26" t="n">
        <x:f>SUMIFS(Data!$Z$6:$Z$41,Data!$A$6:$A$41,$A13)</x:f>
        <x:v>1003615.6799999999</x:v>
      </x:c>
      <x:c r="H13" s="26" t="n">
        <x:f>SUMIFS(Data!$S$6:$S$41,Data!$A$6:$A$41,$A13)</x:f>
        <x:v>361537.22</x:v>
      </x:c>
      <x:c r="I13" s="26" t="n">
        <x:f>SUMIFS(Data!$AA$6:$AA$41,Data!$A$6:$A$41,$A13)</x:f>
        <x:v>377524.67</x:v>
      </x:c>
      <x:c r="J13" s="21" t="n">
        <x:f>SUMIFS(Data!$T$6:$T$41,Data!$A$6:$A$41,$A13)</x:f>
        <x:v>309235.73</x:v>
      </x:c>
      <x:c r="K13" s="21" t="n">
        <x:f>SUMIFS(Data!$AB$6:$AB$41,Data!$A$6:$A$41,$A13)</x:f>
        <x:v>318345.76</x:v>
      </x:c>
      <x:c r="L13" s="26" t="n">
        <x:f>SUMIFS(Data!$U$6:$U$41,Data!$A$6:$A$41,$A13)</x:f>
        <x:v>1616148.74</x:v>
      </x:c>
      <x:c r="M13" s="26" t="n">
        <x:f>SUMIFS(Data!$AC$6:$AC$41,Data!$A$6:$A$41,$A13)</x:f>
        <x:v>1699486.1099999999</x:v>
      </x:c>
      <x:c r="N13" s="26" t="n">
        <x:f>SUMIFS(Data!$V$6:$V$41,Data!$A$6:$A$41,$A13)</x:f>
        <x:v>778292.7200000002</x:v>
      </x:c>
      <x:c r="O13" s="26" t="n">
        <x:f>SUMIFS(Data!$AD$6:$AD$41,Data!$A$6:$A$41,$A13)</x:f>
        <x:v>770670.3800000001</x:v>
      </x:c>
      <x:c r="P13" s="26" t="n">
        <x:f>SUMIFS(Data!$AO$6:$AO$41,Data!$A$6:$A$41,$A13)</x:f>
        <x:v>58388.54</x:v>
      </x:c>
      <x:c r="Q13" s="26" t="n">
        <x:f>SUMIFS(Data!$AP$6:$AP$41,Data!$A$6:$A$41,$A13)</x:f>
        <x:v>17326.489999999896</x:v>
      </x:c>
      <x:c r="R13" s="26" t="n">
        <x:f>E13-D13</x:f>
        <x:v>75715.03000000026</x:v>
      </x:c>
      <x:c r="S13" s="30" t="n">
        <x:f>IF(D13=0,"",R13/ABS(D13))</x:f>
        <x:v>0.031621165630835786</x:v>
      </x:c>
      <x:c r="T13" s="26" t="n">
        <x:f>M13-L13</x:f>
        <x:v>83337.36999999988</x:v>
      </x:c>
      <x:c r="U13" s="30" t="n">
        <x:f>IF(L13=0,"",T13/ABS(L13))</x:f>
        <x:v>0.051565408515555244</x:v>
      </x:c>
      <x:c r="V13" s="26" t="n">
        <x:f>O13-N13</x:f>
        <x:v>-7622.340000000084</x:v>
      </x:c>
      <x:c r="W13" s="30" t="n">
        <x:f>IF(N13=0,"",V13/ABS(N13))</x:f>
        <x:v>-0.009793667349220589</x:v>
      </x:c>
      <x:c r="X13" s="28" t="n">
        <x:f>IF(D13=0,"",N13/D13)</x:f>
        <x:v>0.3250414482883203</x:v>
      </x:c>
      <x:c r="Y13" s="28" t="n">
        <x:f>IF(E13=0,"",O13/E13)</x:f>
        <x:v>0.31199253291033396</x:v>
      </x:c>
      <x:c r="Z13" s="26" t="n">
        <x:f>IF(OR(X13="",Y13=""),"",(Y13-X13)*100)</x:f>
        <x:v>-1.3048915377986359</x:v>
      </x:c>
      <x:c r="AA13" s="30" t="n">
        <x:f>IF(E12=0,"",E13/E12-1)</x:f>
        <x:v>-0.1368787606727614</x:v>
      </x:c>
    </x:row>
    <x:row r="14">
      <x:c r="A14" s="23" t="str">
        <x:v>2025-09</x:v>
      </x:c>
      <x:c r="B14" s="29" t="n">
        <x:f>SUMIFS(Data!$F$6:$F$41,Data!$A$6:$A$41,$A14)</x:f>
        <x:v>33379</x:v>
      </x:c>
      <x:c r="C14" s="29" t="n">
        <x:f>SUMIFS(Data!$G$6:$G$41,Data!$A$6:$A$41,$A14)</x:f>
        <x:v>33780</x:v>
      </x:c>
      <x:c r="D14" s="26" t="n">
        <x:f>SUMIFS(Data!$P$6:$P$41,Data!$A$6:$A$41,$A14)</x:f>
        <x:v>2789039.08</x:v>
      </x:c>
      <x:c r="E14" s="26" t="n">
        <x:f>SUMIFS(Data!$X$6:$X$41,Data!$A$6:$A$41,$A14)</x:f>
        <x:v>2896673.75</x:v>
      </x:c>
      <x:c r="F14" s="26" t="n">
        <x:f>SUMIFS(Data!$R$6:$R$41,Data!$A$6:$A$41,$A14)</x:f>
        <x:v>1101593.45</x:v>
      </x:c>
      <x:c r="G14" s="26" t="n">
        <x:f>SUMIFS(Data!$Z$6:$Z$41,Data!$A$6:$A$41,$A14)</x:f>
        <x:v>1168885.46</x:v>
      </x:c>
      <x:c r="H14" s="26" t="n">
        <x:f>SUMIFS(Data!$S$6:$S$41,Data!$A$6:$A$41,$A14)</x:f>
        <x:v>421467.82999999996</x:v>
      </x:c>
      <x:c r="I14" s="26" t="n">
        <x:f>SUMIFS(Data!$AA$6:$AA$41,Data!$A$6:$A$41,$A14)</x:f>
        <x:v>443251.64</x:v>
      </x:c>
      <x:c r="J14" s="21" t="n">
        <x:f>SUMIFS(Data!$T$6:$T$41,Data!$A$6:$A$41,$A14)</x:f>
        <x:v>360101.69</x:v>
      </x:c>
      <x:c r="K14" s="21" t="n">
        <x:f>SUMIFS(Data!$AB$6:$AB$41,Data!$A$6:$A$41,$A14)</x:f>
        <x:v>370831.38</x:v>
      </x:c>
      <x:c r="L14" s="26" t="n">
        <x:f>SUMIFS(Data!$U$6:$U$41,Data!$A$6:$A$41,$A14)</x:f>
        <x:v>1883162.97</x:v>
      </x:c>
      <x:c r="M14" s="26" t="n">
        <x:f>SUMIFS(Data!$AC$6:$AC$41,Data!$A$6:$A$41,$A14)</x:f>
        <x:v>1982968.48</x:v>
      </x:c>
      <x:c r="N14" s="26" t="n">
        <x:f>SUMIFS(Data!$V$6:$V$41,Data!$A$6:$A$41,$A14)</x:f>
        <x:v>905876.1100000001</x:v>
      </x:c>
      <x:c r="O14" s="26" t="n">
        <x:f>SUMIFS(Data!$AD$6:$AD$41,Data!$A$6:$A$41,$A14)</x:f>
        <x:v>913705.2700000001</x:v>
      </x:c>
      <x:c r="P14" s="26" t="n">
        <x:f>SUMIFS(Data!$AO$6:$AO$41,Data!$A$6:$A$41,$A14)</x:f>
        <x:v>90479.59</x:v>
      </x:c>
      <x:c r="Q14" s="26" t="n">
        <x:f>SUMIFS(Data!$AP$6:$AP$41,Data!$A$6:$A$41,$A14)</x:f>
        <x:v>17155.079999999947</x:v>
      </x:c>
      <x:c r="R14" s="26" t="n">
        <x:f>E14-D14</x:f>
        <x:v>107634.66999999993</x:v>
      </x:c>
      <x:c r="S14" s="30" t="n">
        <x:f>IF(D14=0,"",R14/ABS(D14))</x:f>
        <x:v>0.038592026469560954</x:v>
      </x:c>
      <x:c r="T14" s="26" t="n">
        <x:f>M14-L14</x:f>
        <x:v>99805.51000000001</x:v>
      </x:c>
      <x:c r="U14" s="30" t="n">
        <x:f>IF(L14=0,"",T14/ABS(L14))</x:f>
        <x:v>0.05299887029957902</x:v>
      </x:c>
      <x:c r="V14" s="26" t="n">
        <x:f>O14-N14</x:f>
        <x:v>7829.160000000033</x:v>
      </x:c>
      <x:c r="W14" s="30" t="n">
        <x:f>IF(N14=0,"",V14/ABS(N14))</x:f>
        <x:v>0.008642638782029512</x:v>
      </x:c>
      <x:c r="X14" s="28" t="n">
        <x:f>IF(D14=0,"",N14/D14)</x:f>
        <x:v>0.32479864355288995</x:v>
      </x:c>
      <x:c r="Y14" s="28" t="n">
        <x:f>IF(E14=0,"",O14/E14)</x:f>
        <x:v>0.3154325784876533</x:v>
      </x:c>
      <x:c r="Z14" s="26" t="n">
        <x:f>IF(OR(X14="",Y14=""),"",(Y14-X14)*100)</x:f>
        <x:v>-0.9366065065236628</x:v>
      </x:c>
      <x:c r="AA14" s="30" t="n">
        <x:f>IF(E13=0,"",E14/E13-1)</x:f>
        <x:v>0.17266811302307405</x:v>
      </x:c>
    </x:row>
    <x:row r="15">
      <x:c r="A15" s="23" t="str">
        <x:v>2025-10</x:v>
      </x:c>
      <x:c r="B15" s="29" t="n">
        <x:f>SUMIFS(Data!$F$6:$F$41,Data!$A$6:$A$41,$A15)</x:f>
        <x:v>35439</x:v>
      </x:c>
      <x:c r="C15" s="29" t="n">
        <x:f>SUMIFS(Data!$G$6:$G$41,Data!$A$6:$A$41,$A15)</x:f>
        <x:v>36408</x:v>
      </x:c>
      <x:c r="D15" s="26" t="n">
        <x:f>SUMIFS(Data!$P$6:$P$41,Data!$A$6:$A$41,$A15)</x:f>
        <x:v>2967280.89</x:v>
      </x:c>
      <x:c r="E15" s="26" t="n">
        <x:f>SUMIFS(Data!$X$6:$X$41,Data!$A$6:$A$41,$A15)</x:f>
        <x:v>3095146.1700000004</x:v>
      </x:c>
      <x:c r="F15" s="26" t="n">
        <x:f>SUMIFS(Data!$R$6:$R$41,Data!$A$6:$A$41,$A15)</x:f>
        <x:v>1172498.7</x:v>
      </x:c>
      <x:c r="G15" s="26" t="n">
        <x:f>SUMIFS(Data!$Z$6:$Z$41,Data!$A$6:$A$41,$A15)</x:f>
        <x:v>1240228.69</x:v>
      </x:c>
      <x:c r="H15" s="26" t="n">
        <x:f>SUMIFS(Data!$S$6:$S$41,Data!$A$6:$A$41,$A15)</x:f>
        <x:v>448549.43000000005</x:v>
      </x:c>
      <x:c r="I15" s="26" t="n">
        <x:f>SUMIFS(Data!$AA$6:$AA$41,Data!$A$6:$A$41,$A15)</x:f>
        <x:v>477838.07999999996</x:v>
      </x:c>
      <x:c r="J15" s="21" t="n">
        <x:f>SUMIFS(Data!$T$6:$T$41,Data!$A$6:$A$41,$A15)</x:f>
        <x:v>383026.05</x:v>
      </x:c>
      <x:c r="K15" s="21" t="n">
        <x:f>SUMIFS(Data!$AB$6:$AB$41,Data!$A$6:$A$41,$A15)</x:f>
        <x:v>395116.29</x:v>
      </x:c>
      <x:c r="L15" s="26" t="n">
        <x:f>SUMIFS(Data!$U$6:$U$41,Data!$A$6:$A$41,$A15)</x:f>
        <x:v>2004074.18</x:v>
      </x:c>
      <x:c r="M15" s="26" t="n">
        <x:f>SUMIFS(Data!$AC$6:$AC$41,Data!$A$6:$A$41,$A15)</x:f>
        <x:v>2113183.06</x:v>
      </x:c>
      <x:c r="N15" s="26" t="n">
        <x:f>SUMIFS(Data!$V$6:$V$41,Data!$A$6:$A$41,$A15)</x:f>
        <x:v>963206.7099999998</x:v>
      </x:c>
      <x:c r="O15" s="26" t="n">
        <x:f>SUMIFS(Data!$AD$6:$AD$41,Data!$A$6:$A$41,$A15)</x:f>
        <x:v>981963.1100000003</x:v>
      </x:c>
      <x:c r="P15" s="26" t="n">
        <x:f>SUMIFS(Data!$AO$6:$AO$41,Data!$A$6:$A$41,$A15)</x:f>
        <x:v>122587.8</x:v>
      </x:c>
      <x:c r="Q15" s="26" t="n">
        <x:f>SUMIFS(Data!$AP$6:$AP$41,Data!$A$6:$A$41,$A15)</x:f>
        <x:v>5277.480000000114</x:v>
      </x:c>
      <x:c r="R15" s="26" t="n">
        <x:f>E15-D15</x:f>
        <x:v>127865.28000000026</x:v>
      </x:c>
      <x:c r="S15" s="30" t="n">
        <x:f>IF(D15=0,"",R15/ABS(D15))</x:f>
        <x:v>0.043091734399300585</x:v>
      </x:c>
      <x:c r="T15" s="26" t="n">
        <x:f>M15-L15</x:f>
        <x:v>109108.88000000012</x:v>
      </x:c>
      <x:c r="U15" s="30" t="n">
        <x:f>IF(L15=0,"",T15/ABS(L15))</x:f>
        <x:v>0.05444353362209383</x:v>
      </x:c>
      <x:c r="V15" s="26" t="n">
        <x:f>O15-N15</x:f>
        <x:v>18756.40000000049</x:v>
      </x:c>
      <x:c r="W15" s="30" t="n">
        <x:f>IF(N15=0,"",V15/ABS(N15))</x:f>
        <x:v>0.019472870989447832</x:v>
      </x:c>
      <x:c r="X15" s="28" t="n">
        <x:f>IF(D15=0,"",N15/D15)</x:f>
        <x:v>0.32460921149935346</x:v>
      </x:c>
      <x:c r="Y15" s="28" t="n">
        <x:f>IF(E15=0,"",O15/E15)</x:f>
        <x:v>0.3172590424057421</x:v>
      </x:c>
      <x:c r="Z15" s="26" t="n">
        <x:f>IF(OR(X15="",Y15=""),"",(Y15-X15)*100)</x:f>
        <x:v>-0.7350169093611358</x:v>
      </x:c>
      <x:c r="AA15" s="30" t="n">
        <x:f>IF(E14=0,"",E15/E14-1)</x:f>
        <x:v>0.06851735374064827</x:v>
      </x:c>
    </x:row>
    <x:row r="16">
      <x:c r="A16" s="23" t="str">
        <x:v>2025-11</x:v>
      </x:c>
      <x:c r="B16" s="29" t="n">
        <x:f>SUMIFS(Data!$F$6:$F$41,Data!$A$6:$A$41,$A16)</x:f>
        <x:v>36195</x:v>
      </x:c>
      <x:c r="C16" s="29" t="n">
        <x:f>SUMIFS(Data!$G$6:$G$41,Data!$A$6:$A$41,$A16)</x:f>
        <x:v>37766</x:v>
      </x:c>
      <x:c r="D16" s="26" t="n">
        <x:f>SUMIFS(Data!$P$6:$P$41,Data!$A$6:$A$41,$A16)</x:f>
        <x:v>3036881.7600000002</x:v>
      </x:c>
      <x:c r="E16" s="26" t="n">
        <x:f>SUMIFS(Data!$X$6:$X$41,Data!$A$6:$A$41,$A16)</x:f>
        <x:v>3248799.26</x:v>
      </x:c>
      <x:c r="F16" s="26" t="n">
        <x:f>SUMIFS(Data!$R$6:$R$41,Data!$A$6:$A$41,$A16)</x:f>
        <x:v>1200577.0699999998</x:v>
      </x:c>
      <x:c r="G16" s="26" t="n">
        <x:f>SUMIFS(Data!$Z$6:$Z$41,Data!$A$6:$A$41,$A16)</x:f>
        <x:v>1290350.45</x:v>
      </x:c>
      <x:c r="H16" s="26" t="n">
        <x:f>SUMIFS(Data!$S$6:$S$41,Data!$A$6:$A$41,$A16)</x:f>
        <x:v>459335.58</x:v>
      </x:c>
      <x:c r="I16" s="26" t="n">
        <x:f>SUMIFS(Data!$AA$6:$AA$41,Data!$A$6:$A$41,$A16)</x:f>
        <x:v>497400.22</x:v>
      </x:c>
      <x:c r="J16" s="21" t="n">
        <x:f>SUMIFS(Data!$T$6:$T$41,Data!$A$6:$A$41,$A16)</x:f>
        <x:v>391952.06000000006</x:v>
      </x:c>
      <x:c r="K16" s="21" t="n">
        <x:f>SUMIFS(Data!$AB$6:$AB$41,Data!$A$6:$A$41,$A16)</x:f>
        <x:v>411621.86999999994</x:v>
      </x:c>
      <x:c r="L16" s="26" t="n">
        <x:f>SUMIFS(Data!$U$6:$U$41,Data!$A$6:$A$41,$A16)</x:f>
        <x:v>2051864.71</x:v>
      </x:c>
      <x:c r="M16" s="26" t="n">
        <x:f>SUMIFS(Data!$AC$6:$AC$41,Data!$A$6:$A$41,$A16)</x:f>
        <x:v>2199372.54</x:v>
      </x:c>
      <x:c r="N16" s="26" t="n">
        <x:f>SUMIFS(Data!$V$6:$V$41,Data!$A$6:$A$41,$A16)</x:f>
        <x:v>985017.0500000002</x:v>
      </x:c>
      <x:c r="O16" s="26" t="n">
        <x:f>SUMIFS(Data!$AD$6:$AD$41,Data!$A$6:$A$41,$A16)</x:f>
        <x:v>1049426.72</x:v>
      </x:c>
      <x:c r="P16" s="26" t="n">
        <x:f>SUMIFS(Data!$AO$6:$AO$41,Data!$A$6:$A$41,$A16)</x:f>
        <x:v>194490.22</x:v>
      </x:c>
      <x:c r="Q16" s="26" t="n">
        <x:f>SUMIFS(Data!$AP$6:$AP$41,Data!$A$6:$A$41,$A16)</x:f>
        <x:v>17427.27999999974</x:v>
      </x:c>
      <x:c r="R16" s="26" t="n">
        <x:f>E16-D16</x:f>
        <x:v>211917.49999999953</x:v>
      </x:c>
      <x:c r="S16" s="30" t="n">
        <x:f>IF(D16=0,"",R16/ABS(D16))</x:f>
        <x:v>0.06978128117836221</x:v>
      </x:c>
      <x:c r="T16" s="26" t="n">
        <x:f>M16-L16</x:f>
        <x:v>147507.83000000007</x:v>
      </x:c>
      <x:c r="U16" s="30" t="n">
        <x:f>IF(L16=0,"",T16/ABS(L16))</x:f>
        <x:v>0.07188964714929966</x:v>
      </x:c>
      <x:c r="V16" s="26" t="n">
        <x:f>O16-N16</x:f>
        <x:v>64409.66999999981</x:v>
      </x:c>
      <x:c r="W16" s="30" t="n">
        <x:f>IF(N16=0,"",V16/ABS(N16))</x:f>
        <x:v>0.06538939605157068</x:v>
      </x:c>
      <x:c r="X16" s="28" t="n">
        <x:f>IF(D16=0,"",N16/D16)</x:f>
        <x:v>0.3243514656955232</x:v>
      </x:c>
      <x:c r="Y16" s="28" t="n">
        <x:f>IF(E16=0,"",O16/E16)</x:f>
        <x:v>0.3230198716555975</x:v>
      </x:c>
      <x:c r="Z16" s="26" t="n">
        <x:f>IF(OR(X16="",Y16=""),"",(Y16-X16)*100)</x:f>
        <x:v>-0.1331594039925721</x:v>
      </x:c>
      <x:c r="AA16" s="30" t="n">
        <x:f>IF(E15=0,"",E16/E15-1)</x:f>
        <x:v>0.049643241889283596</x:v>
      </x:c>
    </x:row>
    <x:row r="17">
      <x:c r="A17" s="23" t="str">
        <x:v>2025-12</x:v>
      </x:c>
      <x:c r="B17" s="29" t="n">
        <x:f>SUMIFS(Data!$F$6:$F$41,Data!$A$6:$A$41,$A17)</x:f>
        <x:v>34975</x:v>
      </x:c>
      <x:c r="C17" s="29" t="n">
        <x:f>SUMIFS(Data!$G$6:$G$41,Data!$A$6:$A$41,$A17)</x:f>
        <x:v>36018</x:v>
      </x:c>
      <x:c r="D17" s="26" t="n">
        <x:f>SUMIFS(Data!$P$6:$P$41,Data!$A$6:$A$41,$A17)</x:f>
        <x:v>2940813.8200000003</x:v>
      </x:c>
      <x:c r="E17" s="26" t="n">
        <x:f>SUMIFS(Data!$X$6:$X$41,Data!$A$6:$A$41,$A17)</x:f>
        <x:v>3084444.5100000002</x:v>
      </x:c>
      <x:c r="F17" s="26" t="n">
        <x:f>SUMIFS(Data!$R$6:$R$41,Data!$A$6:$A$41,$A17)</x:f>
        <x:v>1162811.69</x:v>
      </x:c>
      <x:c r="G17" s="26" t="n">
        <x:f>SUMIFS(Data!$Z$6:$Z$41,Data!$A$6:$A$41,$A17)</x:f>
        <x:v>1224309.84</x:v>
      </x:c>
      <x:c r="H17" s="26" t="n">
        <x:f>SUMIFS(Data!$S$6:$S$41,Data!$A$6:$A$41,$A17)</x:f>
        <x:v>444911.75999999995</x:v>
      </x:c>
      <x:c r="I17" s="26" t="n">
        <x:f>SUMIFS(Data!$AA$6:$AA$41,Data!$A$6:$A$41,$A17)</x:f>
        <x:v>476377.95</x:v>
      </x:c>
      <x:c r="J17" s="21" t="n">
        <x:f>SUMIFS(Data!$T$6:$T$41,Data!$A$6:$A$41,$A17)</x:f>
        <x:v>379271.92000000004</x:v>
      </x:c>
      <x:c r="K17" s="21" t="n">
        <x:f>SUMIFS(Data!$AB$6:$AB$41,Data!$A$6:$A$41,$A17)</x:f>
        <x:v>392385.42</x:v>
      </x:c>
      <x:c r="L17" s="26" t="n">
        <x:f>SUMIFS(Data!$U$6:$U$41,Data!$A$6:$A$41,$A17)</x:f>
        <x:v>1986995.37</x:v>
      </x:c>
      <x:c r="M17" s="26" t="n">
        <x:f>SUMIFS(Data!$AC$6:$AC$41,Data!$A$6:$A$41,$A17)</x:f>
        <x:v>2093073.21</x:v>
      </x:c>
      <x:c r="N17" s="26" t="n">
        <x:f>SUMIFS(Data!$V$6:$V$41,Data!$A$6:$A$41,$A17)</x:f>
        <x:v>953818.4500000001</x:v>
      </x:c>
      <x:c r="O17" s="26" t="n">
        <x:f>SUMIFS(Data!$AD$6:$AD$41,Data!$A$6:$A$41,$A17)</x:f>
        <x:v>991371.3000000003</x:v>
      </x:c>
      <x:c r="P17" s="26" t="n">
        <x:f>SUMIFS(Data!$AO$6:$AO$41,Data!$A$6:$A$41,$A17)</x:f>
        <x:v>136503.62000000002</x:v>
      </x:c>
      <x:c r="Q17" s="26" t="n">
        <x:f>SUMIFS(Data!$AP$6:$AP$41,Data!$A$6:$A$41,$A17)</x:f>
        <x:v>7127.0700000001025</x:v>
      </x:c>
      <x:c r="R17" s="26" t="n">
        <x:f>E17-D17</x:f>
        <x:v>143630.68999999994</x:v>
      </x:c>
      <x:c r="S17" s="30" t="n">
        <x:f>IF(D17=0,"",R17/ABS(D17))</x:f>
        <x:v>0.04884045668691802</x:v>
      </x:c>
      <x:c r="T17" s="26" t="n">
        <x:f>M17-L17</x:f>
        <x:v>106077.83999999985</x:v>
      </x:c>
      <x:c r="U17" s="30" t="n">
        <x:f>IF(L17=0,"",T17/ABS(L17))</x:f>
        <x:v>0.053386052932775506</x:v>
      </x:c>
      <x:c r="V17" s="26" t="n">
        <x:f>O17-N17</x:f>
        <x:v>37552.85000000021</x:v>
      </x:c>
      <x:c r="W17" s="30" t="n">
        <x:f>IF(N17=0,"",V17/ABS(N17))</x:f>
        <x:v>0.03937106689433425</x:v>
      </x:c>
      <x:c r="X17" s="28" t="n">
        <x:f>IF(D17=0,"",N17/D17)</x:f>
        <x:v>0.32433826429719376</x:v>
      </x:c>
      <x:c r="Y17" s="28" t="n">
        <x:f>IF(E17=0,"",O17/E17)</x:f>
        <x:v>0.3214099967711853</x:v>
      </x:c>
      <x:c r="Z17" s="26" t="n">
        <x:f>IF(OR(X17="",Y17=""),"",(Y17-X17)*100)</x:f>
        <x:v>-0.29282675260084434</x:v>
      </x:c>
      <x:c r="AA17" s="30" t="n">
        <x:f>IF(E16=0,"",E17/E16-1)</x:f>
        <x:v>-0.0505893829832994</x:v>
      </x:c>
    </x:row>
  </x:sheetData>
  <x:pageMargins left="0.7" right="0.7" top="0.75" bottom="0.75" header="0.3" footer="0.3"/>
  <x:tableParts count="1">
    <x:tablePart xmlns:r="http://schemas.openxmlformats.org/officeDocument/2006/relationships" r:id="R49a9f052654044da"/>
  </x:tableParts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1" hidden="0" customWidth="1"/>
    <x:col min="2" max="2" width="17.780000686645508" hidden="0" customWidth="1"/>
    <x:col min="3" max="3" width="17.219999313354492" hidden="0" customWidth="1"/>
    <x:col min="4" max="4" width="14.4399995803833" hidden="0" customWidth="1"/>
    <x:col min="5" max="5" width="13.890000343322754" hidden="0" customWidth="1"/>
    <x:col min="6" max="6" width="17.559999465942383" hidden="0" customWidth="1"/>
    <x:col min="7" max="7" width="17" hidden="0" customWidth="1"/>
    <x:col min="8" max="8" width="16.110000610351562" hidden="0" customWidth="1"/>
    <x:col min="9" max="9" width="15.4399995803833" hidden="0" customWidth="1"/>
    <x:col min="10" max="10" width="25.670000076293945" hidden="0" customWidth="1"/>
    <x:col min="11" max="11" width="25.110000610351562" hidden="0" customWidth="1"/>
    <x:col min="12" max="12" width="12.5600004196167" hidden="0" customWidth="1"/>
    <x:col min="13" max="13" width="12" hidden="0" customWidth="1"/>
    <x:col min="14" max="14" width="16.780000686645508" hidden="0" customWidth="1"/>
    <x:col min="15" max="15" width="16.219999313354492" hidden="0" customWidth="1"/>
    <x:col min="16" max="16" width="19.110000610351562" hidden="0" customWidth="1"/>
    <x:col min="17" max="17" width="17.440000534057617" hidden="0" customWidth="1"/>
    <x:col min="18" max="18" width="15.4399995803833" hidden="0" customWidth="1"/>
    <x:col min="19" max="19" width="17.110000610351562" hidden="0" customWidth="1"/>
    <x:col min="20" max="20" width="13.5600004196167" hidden="0" customWidth="1"/>
    <x:col min="21" max="21" width="15.329999923706055" hidden="0" customWidth="1"/>
    <x:col min="22" max="22" width="17.780000686645508" hidden="0" customWidth="1"/>
    <x:col min="23" max="23" width="19.559999465942383" hidden="0" customWidth="1"/>
    <x:col min="24" max="24" width="17.780000686645508" hidden="0" customWidth="1"/>
    <x:col min="25" max="25" width="17.219999313354492" hidden="0" customWidth="1"/>
    <x:col min="26" max="26" width="22" hidden="0" customWidth="1"/>
    <x:col min="27" max="27" width="25.219999313354492" hidden="0" customWidth="1"/>
    <x:col min="28" max="28" width="23.780000686645508" hidden="0" customWidth="1"/>
    <x:col min="29" max="29" width="22.780000686645508" hidden="0" customWidth="1"/>
    <x:col min="30" max="30" width="18.440000534057617" hidden="0" customWidth="1"/>
  </x:cols>
  <x:sheetData>
    <x:row r="2">
      <x:c r="A2" s="2" t="str">
        <x:v>Product-Line Performance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</x:row>
    <x:row r="3">
      <x:c r="A3" s="3" t="str">
        <x:v>Formula-driven revenue, cost and profitability comparison | Synthetic Data / Simulated Company | EUR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</x:row>
    <x:row r="5">
      <x:c r="A5" s="15" t="str">
        <x:v>Product Line</x:v>
      </x:c>
      <x:c r="B5" s="16" t="str">
        <x:v>Budget Sales Volume</x:v>
      </x:c>
      <x:c r="C5" s="16" t="str">
        <x:v>Actual Sales Volume</x:v>
      </x:c>
      <x:c r="D5" s="16" t="str">
        <x:v>Budget Revenue</x:v>
      </x:c>
      <x:c r="E5" s="16" t="str">
        <x:v>Actual Revenue</x:v>
      </x:c>
      <x:c r="F5" s="16" t="str">
        <x:v>Budget Material Cost</x:v>
      </x:c>
      <x:c r="G5" s="16" t="str">
        <x:v>Actual Material Cost</x:v>
      </x:c>
      <x:c r="H5" s="16" t="str">
        <x:v>Budget Labor Cost</x:v>
      </x:c>
      <x:c r="I5" s="16" t="str">
        <x:v>Actual Labor Cost</x:v>
      </x:c>
      <x:c r="J5" s="16" t="str">
        <x:v>Budget Manufacturing Overhead</x:v>
      </x:c>
      <x:c r="K5" s="16" t="str">
        <x:v>Actual Manufacturing Overhead</x:v>
      </x:c>
      <x:c r="L5" s="16" t="str">
        <x:v>Budget COGS</x:v>
      </x:c>
      <x:c r="M5" s="16" t="str">
        <x:v>Actual COGS</x:v>
      </x:c>
      <x:c r="N5" s="16" t="str">
        <x:v>Budget Gross Profit</x:v>
      </x:c>
      <x:c r="O5" s="16" t="str">
        <x:v>Actual Gross Profit</x:v>
      </x:c>
      <x:c r="P5" s="16" t="str">
        <x:v>Revenue Volume Effect</x:v>
      </x:c>
      <x:c r="Q5" s="16" t="str">
        <x:v>Revenue Price Effect</x:v>
      </x:c>
      <x:c r="R5" s="16" t="str">
        <x:v>Revenue Variance</x:v>
      </x:c>
      <x:c r="S5" s="16" t="str">
        <x:v>Revenue Variance %</x:v>
      </x:c>
      <x:c r="T5" s="16" t="str">
        <x:v>COGS Variance</x:v>
      </x:c>
      <x:c r="U5" s="16" t="str">
        <x:v>COGS Variance %</x:v>
      </x:c>
      <x:c r="V5" s="16" t="str">
        <x:v>Gross Profit Variance</x:v>
      </x:c>
      <x:c r="W5" s="16" t="str">
        <x:v>Gross Profit Variance %</x:v>
      </x:c>
      <x:c r="X5" s="16" t="str">
        <x:v>Budget Gross Margin</x:v>
      </x:c>
      <x:c r="Y5" s="16" t="str">
        <x:v>Actual Gross Margin</x:v>
      </x:c>
      <x:c r="Z5" s="16" t="str">
        <x:v>Gross Margin Variance (pp)</x:v>
      </x:c>
      <x:c r="AA5" s="16" t="str">
        <x:v>Actual Material Cost % of COGS</x:v>
      </x:c>
      <x:c r="AB5" s="16" t="str">
        <x:v>Actual Labor Cost % of COGS</x:v>
      </x:c>
      <x:c r="AC5" s="16" t="str">
        <x:v>Actual Overhead % of COGS</x:v>
      </x:c>
      <x:c r="AD5" s="17" t="str">
        <x:v>Actual Revenue Mix %</x:v>
      </x:c>
    </x:row>
    <x:row r="6">
      <x:c r="A6" s="21" t="str">
        <x:v>Battery Management Components</x:v>
      </x:c>
      <x:c r="B6" s="29" t="n">
        <x:f>SUMIFS(Data!$F$6:$F$41,Data!$B$6:$B$41,$A6)</x:f>
        <x:v>82469</x:v>
      </x:c>
      <x:c r="C6" s="29" t="n">
        <x:f>SUMIFS(Data!$G$6:$G$41,Data!$B$6:$B$41,$A6)</x:f>
        <x:v>89262</x:v>
      </x:c>
      <x:c r="D6" s="26" t="n">
        <x:f>SUMIFS(Data!$P$6:$P$41,Data!$B$6:$B$41,$A6)</x:f>
        <x:v>12032415.4</x:v>
      </x:c>
      <x:c r="E6" s="26" t="n">
        <x:f>SUMIFS(Data!$X$6:$X$41,Data!$B$6:$B$41,$A6)</x:f>
        <x:v>13151385.129999999</x:v>
      </x:c>
      <x:c r="F6" s="26" t="n">
        <x:f>SUMIFS(Data!$R$6:$R$41,Data!$B$6:$B$41,$A6)</x:f>
        <x:v>4739725.72</x:v>
      </x:c>
      <x:c r="G6" s="26" t="n">
        <x:f>SUMIFS(Data!$Z$6:$Z$41,Data!$B$6:$B$41,$A6)</x:f>
        <x:v>5272150.42</x:v>
      </x:c>
      <x:c r="H6" s="26" t="n">
        <x:f>SUMIFS(Data!$S$6:$S$41,Data!$B$6:$B$41,$A6)</x:f>
        <x:v>1583170.96</x:v>
      </x:c>
      <x:c r="I6" s="26" t="n">
        <x:f>SUMIFS(Data!$AA$6:$AA$41,Data!$B$6:$B$41,$A6)</x:f>
        <x:v>1754559.7200000002</x:v>
      </x:c>
      <x:c r="J6" s="21" t="n">
        <x:f>SUMIFS(Data!$T$6:$T$41,Data!$B$6:$B$41,$A6)</x:f>
        <x:v>1327632.56</x:v>
      </x:c>
      <x:c r="K6" s="21" t="n">
        <x:f>SUMIFS(Data!$AB$6:$AB$41,Data!$B$6:$B$41,$A6)</x:f>
        <x:v>1413924.8199999998</x:v>
      </x:c>
      <x:c r="L6" s="26" t="n">
        <x:f>SUMIFS(Data!$U$6:$U$41,Data!$B$6:$B$41,$A6)</x:f>
        <x:v>7650529.24</x:v>
      </x:c>
      <x:c r="M6" s="26" t="n">
        <x:f>SUMIFS(Data!$AC$6:$AC$41,Data!$B$6:$B$41,$A6)</x:f>
        <x:v>8440634.959999999</x:v>
      </x:c>
      <x:c r="N6" s="26" t="n">
        <x:f>SUMIFS(Data!$V$6:$V$41,Data!$B$6:$B$41,$A6)</x:f>
        <x:v>4381886.159999999</x:v>
      </x:c>
      <x:c r="O6" s="26" t="n">
        <x:f>SUMIFS(Data!$AD$6:$AD$41,Data!$B$6:$B$41,$A6)</x:f>
        <x:v>4710750.17</x:v>
      </x:c>
      <x:c r="P6" s="26" t="n">
        <x:f>SUMIFS(Data!$AO$6:$AO$41,Data!$B$6:$B$41,$A6)</x:f>
        <x:v>992491.6099999999</x:v>
      </x:c>
      <x:c r="Q6" s="26" t="n">
        <x:f>SUMIFS(Data!$AP$6:$AP$41,Data!$B$6:$B$41,$A6)</x:f>
        <x:v>126478.11999999995</x:v>
      </x:c>
      <x:c r="R6" s="26" t="n">
        <x:f>E6-D6</x:f>
        <x:v>1118969.7299999986</x:v>
      </x:c>
      <x:c r="S6" s="30" t="n">
        <x:f>IF(D6=0,"",R6/ABS(D6))</x:f>
        <x:v>0.09299626823056645</x:v>
      </x:c>
      <x:c r="T6" s="26" t="n">
        <x:f>M6-L6</x:f>
        <x:v>790105.7199999988</x:v>
      </x:c>
      <x:c r="U6" s="30" t="n">
        <x:f>IF(L6=0,"",T6/ABS(L6))</x:f>
        <x:v>0.10327464874835232</x:v>
      </x:c>
      <x:c r="V6" s="26" t="n">
        <x:f>O6-N6</x:f>
        <x:v>328864.0100000007</x:v>
      </x:c>
      <x:c r="W6" s="30" t="n">
        <x:f>IF(N6=0,"",V6/ABS(N6))</x:f>
        <x:v>0.07505078817474363</x:v>
      </x:c>
      <x:c r="X6" s="28" t="n">
        <x:f>IF(D6=0,"",N6/D6)</x:f>
        <x:v>0.36417344434434995</x:v>
      </x:c>
      <x:c r="Y6" s="28" t="n">
        <x:f>IF(E6=0,"",O6/E6)</x:f>
        <x:v>0.35819422239062665</x:v>
      </x:c>
      <x:c r="Z6" s="26" t="n">
        <x:f>IF(OR(X6="",Y6=""),"",(Y6-X6)*100)</x:f>
        <x:v>-0.5979221953723302</x:v>
      </x:c>
      <x:c r="AA6" s="30" t="n">
        <x:f>IF(M6=0,"",G6/M6)</x:f>
        <x:v>0.6246153808314915</x:v>
      </x:c>
      <x:c r="AB6" s="30" t="n">
        <x:f>IF(M6=0,"",I6/M6)</x:f>
        <x:v>0.20787058418173796</x:v>
      </x:c>
      <x:c r="AC6" s="30" t="n">
        <x:f>IF(M6=0,"",K6/M6)</x:f>
        <x:v>0.1675140349867707</x:v>
      </x:c>
      <x:c r="AD6" s="30" t="n">
        <x:f>IF(SUM(E$6:E$8)=0,"",E6/SUM(E$6:E$8))</x:f>
        <x:v>0.38815335639172804</x:v>
      </x:c>
    </x:row>
    <x:row r="7">
      <x:c r="A7" s="21" t="str">
        <x:v>Electric Motor Components</x:v>
      </x:c>
      <x:c r="B7" s="29" t="n">
        <x:f>SUMIFS(Data!$F$6:$F$41,Data!$B$6:$B$41,$A7)</x:f>
        <x:v>129311</x:v>
      </x:c>
      <x:c r="C7" s="29" t="n">
        <x:f>SUMIFS(Data!$G$6:$G$41,Data!$B$6:$B$41,$A7)</x:f>
        <x:v>127811</x:v>
      </x:c>
      <x:c r="D7" s="26" t="n">
        <x:f>SUMIFS(Data!$P$6:$P$41,Data!$B$6:$B$41,$A7)</x:f>
        <x:v>11969587.600000001</x:v>
      </x:c>
      <x:c r="E7" s="26" t="n">
        <x:f>SUMIFS(Data!$X$6:$X$41,Data!$B$6:$B$41,$A7)</x:f>
        <x:v>11909268.28</x:v>
      </x:c>
      <x:c r="F7" s="26" t="n">
        <x:f>SUMIFS(Data!$R$6:$R$41,Data!$B$6:$B$41,$A7)</x:f>
        <x:v>5084475.86</x:v>
      </x:c>
      <x:c r="G7" s="26" t="n">
        <x:f>SUMIFS(Data!$Z$6:$Z$41,Data!$B$6:$B$41,$A7)</x:f>
        <x:v>5141092.859999999</x:v>
      </x:c>
      <x:c r="H7" s="26" t="n">
        <x:f>SUMIFS(Data!$S$6:$S$41,Data!$B$6:$B$41,$A7)</x:f>
        <x:v>1894251.68</x:v>
      </x:c>
      <x:c r="I7" s="26" t="n">
        <x:f>SUMIFS(Data!$AA$6:$AA$41,Data!$B$6:$B$41,$A7)</x:f>
        <x:v>1915923.16</x:v>
      </x:c>
      <x:c r="J7" s="21" t="n">
        <x:f>SUMIFS(Data!$T$6:$T$41,Data!$B$6:$B$41,$A7)</x:f>
        <x:v>1626335.56</x:v>
      </x:c>
      <x:c r="K7" s="21" t="n">
        <x:f>SUMIFS(Data!$AB$6:$AB$41,Data!$B$6:$B$41,$A7)</x:f>
        <x:v>1634782.1199999999</x:v>
      </x:c>
      <x:c r="L7" s="26" t="n">
        <x:f>SUMIFS(Data!$U$6:$U$41,Data!$B$6:$B$41,$A7)</x:f>
        <x:v>8605063.100000001</x:v>
      </x:c>
      <x:c r="M7" s="26" t="n">
        <x:f>SUMIFS(Data!$AC$6:$AC$41,Data!$B$6:$B$41,$A7)</x:f>
        <x:v>8691798.14</x:v>
      </x:c>
      <x:c r="N7" s="26" t="n">
        <x:f>SUMIFS(Data!$V$6:$V$41,Data!$B$6:$B$41,$A7)</x:f>
        <x:v>3364524.500000001</x:v>
      </x:c>
      <x:c r="O7" s="26" t="n">
        <x:f>SUMIFS(Data!$AD$6:$AD$41,Data!$B$6:$B$41,$A7)</x:f>
        <x:v>3217470.1399999997</x:v>
      </x:c>
      <x:c r="P7" s="26" t="n">
        <x:f>SUMIFS(Data!$AO$6:$AO$41,Data!$B$6:$B$41,$A7)</x:f>
        <x:v>-138193</x:v>
      </x:c>
      <x:c r="Q7" s="26" t="n">
        <x:f>SUMIFS(Data!$AP$6:$AP$41,Data!$B$6:$B$41,$A7)</x:f>
        <x:v>77873.68000000008</x:v>
      </x:c>
      <x:c r="R7" s="26" t="n">
        <x:f>E7-D7</x:f>
        <x:v>-60319.32000000216</x:v>
      </x:c>
      <x:c r="S7" s="30" t="n">
        <x:f>IF(D7=0,"",R7/ABS(D7))</x:f>
        <x:v>-0.005039381640851365</x:v>
      </x:c>
      <x:c r="T7" s="26" t="n">
        <x:f>M7-L7</x:f>
        <x:v>86735.0399999991</x:v>
      </x:c>
      <x:c r="U7" s="30" t="n">
        <x:f>IF(L7=0,"",T7/ABS(L7))</x:f>
        <x:v>0.010079535616653304</x:v>
      </x:c>
      <x:c r="V7" s="26" t="n">
        <x:f>O7-N7</x:f>
        <x:v>-147054.36000000127</x:v>
      </x:c>
      <x:c r="W7" s="30" t="n">
        <x:f>IF(N7=0,"",V7/ABS(N7))</x:f>
        <x:v>-0.04370732327852011</x:v>
      </x:c>
      <x:c r="X7" s="28" t="n">
        <x:f>IF(D7=0,"",N7/D7)</x:f>
        <x:v>0.28108942533659226</x:v>
      </x:c>
      <x:c r="Y7" s="28" t="n">
        <x:f>IF(E7=0,"",O7/E7)</x:f>
        <x:v>0.2701652246262102</x:v>
      </x:c>
      <x:c r="Z7" s="26" t="n">
        <x:f>IF(OR(X7="",Y7=""),"",(Y7-X7)*100)</x:f>
        <x:v>-1.0924200710382082</x:v>
      </x:c>
      <x:c r="AA7" s="30" t="n">
        <x:f>IF(M7=0,"",G7/M7)</x:f>
        <x:v>0.5914878345299445</x:v>
      </x:c>
      <x:c r="AB7" s="30" t="n">
        <x:f>IF(M7=0,"",I7/M7)</x:f>
        <x:v>0.22042886053495023</x:v>
      </x:c>
      <x:c r="AC7" s="30" t="n">
        <x:f>IF(M7=0,"",K7/M7)</x:f>
        <x:v>0.18808330493510514</x:v>
      </x:c>
      <x:c r="AD7" s="30" t="n">
        <x:f>IF(SUM(E$6:E$8)=0,"",E7/SUM(E$6:E$8))</x:f>
        <x:v>0.3514932008573566</x:v>
      </x:c>
    </x:row>
    <x:row r="8">
      <x:c r="A8" s="21" t="str">
        <x:v>Automotive Sensors</x:v>
      </x:c>
      <x:c r="B8" s="29" t="n">
        <x:f>SUMIFS(Data!$F$6:$F$41,Data!$B$6:$B$41,$A8)</x:f>
        <x:v>183520</x:v>
      </x:c>
      <x:c r="C8" s="29" t="n">
        <x:f>SUMIFS(Data!$G$6:$G$41,Data!$B$6:$B$41,$A8)</x:f>
        <x:v>183905</x:v>
      </x:c>
      <x:c r="D8" s="26" t="n">
        <x:f>SUMIFS(Data!$P$6:$P$41,Data!$B$6:$B$41,$A8)</x:f>
        <x:v>8862961.32</x:v>
      </x:c>
      <x:c r="E8" s="26" t="n">
        <x:f>SUMIFS(Data!$X$6:$X$41,Data!$B$6:$B$41,$A8)</x:f>
        <x:v>8821277.31</x:v>
      </x:c>
      <x:c r="F8" s="26" t="n">
        <x:f>SUMIFS(Data!$R$6:$R$41,Data!$B$6:$B$41,$A8)</x:f>
        <x:v>3145211.2499999995</x:v>
      </x:c>
      <x:c r="G8" s="26" t="n">
        <x:f>SUMIFS(Data!$Z$6:$Z$41,Data!$B$6:$B$41,$A8)</x:f>
        <x:v>3206103.24</x:v>
      </x:c>
      <x:c r="H8" s="26" t="n">
        <x:f>SUMIFS(Data!$S$6:$S$41,Data!$B$6:$B$41,$A8)</x:f>
        <x:v>1483199.74</x:v>
      </x:c>
      <x:c r="I8" s="26" t="n">
        <x:f>SUMIFS(Data!$AA$6:$AA$41,Data!$B$6:$B$41,$A8)</x:f>
        <x:v>1519911.19</x:v>
      </x:c>
      <x:c r="J8" s="21" t="n">
        <x:f>SUMIFS(Data!$T$6:$T$41,Data!$B$6:$B$41,$A8)</x:f>
        <x:v>1292627.74</x:v>
      </x:c>
      <x:c r="K8" s="21" t="n">
        <x:f>SUMIFS(Data!$AB$6:$AB$41,Data!$B$6:$B$41,$A8)</x:f>
        <x:v>1310606.33</x:v>
      </x:c>
      <x:c r="L8" s="26" t="n">
        <x:f>SUMIFS(Data!$U$6:$U$41,Data!$B$6:$B$41,$A8)</x:f>
        <x:v>5921038.73</x:v>
      </x:c>
      <x:c r="M8" s="26" t="n">
        <x:f>SUMIFS(Data!$AC$6:$AC$41,Data!$B$6:$B$41,$A8)</x:f>
        <x:v>6036620.76</x:v>
      </x:c>
      <x:c r="N8" s="26" t="n">
        <x:f>SUMIFS(Data!$V$6:$V$41,Data!$B$6:$B$41,$A8)</x:f>
        <x:v>2941922.59</x:v>
      </x:c>
      <x:c r="O8" s="26" t="n">
        <x:f>SUMIFS(Data!$AD$6:$AD$41,Data!$B$6:$B$41,$A8)</x:f>
        <x:v>2784656.5500000003</x:v>
      </x:c>
      <x:c r="P8" s="26" t="n">
        <x:f>SUMIFS(Data!$AO$6:$AO$41,Data!$B$6:$B$41,$A8)</x:f>
        <x:v>18617.51</x:v>
      </x:c>
      <x:c r="Q8" s="26" t="n">
        <x:f>SUMIFS(Data!$AP$6:$AP$41,Data!$B$6:$B$41,$A8)</x:f>
        <x:v>-60301.51999999985</x:v>
      </x:c>
      <x:c r="R8" s="26" t="n">
        <x:f>E8-D8</x:f>
        <x:v>-41684.00999999978</x:v>
      </x:c>
      <x:c r="S8" s="30" t="n">
        <x:f>IF(D8=0,"",R8/ABS(D8))</x:f>
        <x:v>-0.004703169572221463</x:v>
      </x:c>
      <x:c r="T8" s="26" t="n">
        <x:f>M8-L8</x:f>
        <x:v>115582.02999999933</x:v>
      </x:c>
      <x:c r="U8" s="30" t="n">
        <x:f>IF(L8=0,"",T8/ABS(L8))</x:f>
        <x:v>0.019520566453041815</x:v>
      </x:c>
      <x:c r="V8" s="26" t="n">
        <x:f>O8-N8</x:f>
        <x:v>-157266.03999999957</x:v>
      </x:c>
      <x:c r="W8" s="30" t="n">
        <x:f>IF(N8=0,"",V8/ABS(N8))</x:f>
        <x:v>-0.053456892623405014</x:v>
      </x:c>
      <x:c r="X8" s="28" t="n">
        <x:f>IF(D8=0,"",N8/D8)</x:f>
        <x:v>0.33193449500465605</x:v>
      </x:c>
      <x:c r="Y8" s="28" t="n">
        <x:f>IF(E8=0,"",O8/E8)</x:f>
        <x:v>0.3156749813140156</x:v>
      </x:c>
      <x:c r="Z8" s="26" t="n">
        <x:f>IF(OR(X8="",Y8=""),"",(Y8-X8)*100)</x:f>
        <x:v>-1.6259513690640437</x:v>
      </x:c>
      <x:c r="AA8" s="30" t="n">
        <x:f>IF(M8=0,"",G8/M8)</x:f>
        <x:v>0.5311089378422374</x:v>
      </x:c>
      <x:c r="AB8" s="30" t="n">
        <x:f>IF(M8=0,"",I8/M8)</x:f>
        <x:v>0.25178179157307207</x:v>
      </x:c>
      <x:c r="AC8" s="30" t="n">
        <x:f>IF(M8=0,"",K8/M8)</x:f>
        <x:v>0.2171092705846905</x:v>
      </x:c>
      <x:c r="AD8" s="30" t="n">
        <x:f>IF(SUM(E$6:E$8)=0,"",E8/SUM(E$6:E$8))</x:f>
        <x:v>0.2603534427509154</x:v>
      </x:c>
    </x:row>
  </x:sheetData>
  <x:pageMargins left="0.7" right="0.7" top="0.75" bottom="0.75" header="0.3" footer="0.3"/>
  <x:tableParts count="1">
    <x:tablePart xmlns:r="http://schemas.openxmlformats.org/officeDocument/2006/relationships" r:id="R04a3c5fc66764594"/>
  </x:tableParts>
</x:worksheet>
</file>

<file path=xl/worksheets/sheet4.xml><?xml version="1.0" encoding="utf-8"?>
<x:worksheet xmlns:x="http://schemas.openxmlformats.org/spreadsheetml/2006/main">
  <x:sheetPr>
    <x:tabColor rgb="FF5B7F6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52" hidden="0" customWidth="1"/>
    <x:col min="19" max="19" width="20" hidden="0" customWidth="1"/>
  </x:cols>
  <x:sheetData>
    <x:row r="2">
      <x:c r="A2" s="2" t="str">
        <x:v>Gross Profit Variance Bridge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>
      <x:c r="A3" s="3" t="str">
        <x:v>Company portfolio bridge includes mix; each product line reconciles without a mix allocation | EUR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5">
      <x:c r="A5" s="15" t="str">
        <x:v>Analysis Level</x:v>
      </x:c>
      <x:c r="B5" s="16" t="str">
        <x:v>Product Line</x:v>
      </x:c>
      <x:c r="C5" s="16" t="str">
        <x:v>Budget Volume</x:v>
      </x:c>
      <x:c r="D5" s="16" t="str">
        <x:v>Actual Volume</x:v>
      </x:c>
      <x:c r="E5" s="16" t="str">
        <x:v>Budget Revenue</x:v>
      </x:c>
      <x:c r="F5" s="16" t="str">
        <x:v>Actual Revenue</x:v>
      </x:c>
      <x:c r="G5" s="16" t="str">
        <x:v>Budget COGS</x:v>
      </x:c>
      <x:c r="H5" s="16" t="str">
        <x:v>Actual COGS</x:v>
      </x:c>
      <x:c r="I5" s="16" t="str">
        <x:v>Budget Gross Profit</x:v>
      </x:c>
      <x:c r="J5" s="16" t="str">
        <x:v>Actual Gross Profit</x:v>
      </x:c>
      <x:c r="K5" s="16" t="str">
        <x:v>Volume Effect</x:v>
      </x:c>
      <x:c r="L5" s="16" t="str">
        <x:v>Mix Effect</x:v>
      </x:c>
      <x:c r="M5" s="16" t="str">
        <x:v>Price Effect</x:v>
      </x:c>
      <x:c r="N5" s="16" t="str">
        <x:v>Unit Cost Effect</x:v>
      </x:c>
      <x:c r="O5" s="16" t="str">
        <x:v>Explained GP Variance</x:v>
      </x:c>
      <x:c r="P5" s="16" t="str">
        <x:v>Actual GP Variance</x:v>
      </x:c>
      <x:c r="Q5" s="16" t="str">
        <x:v>Difference</x:v>
      </x:c>
      <x:c r="R5" s="16" t="str">
        <x:v>Scope Note</x:v>
      </x:c>
      <x:c r="S5" s="17" t="str">
        <x:v>Company Mix Contribution</x:v>
      </x:c>
    </x:row>
    <x:row r="6">
      <x:c r="A6" s="69" t="str">
        <x:v>Company</x:v>
      </x:c>
      <x:c r="B6" s="69" t="str">
        <x:v>All Product Lines</x:v>
      </x:c>
      <x:c r="C6" s="71" t="n">
        <x:f>SUM(C10:C12)</x:f>
        <x:v>395300</x:v>
      </x:c>
      <x:c r="D6" s="71" t="n">
        <x:f>SUM(D10:D12)</x:f>
        <x:v>400978</x:v>
      </x:c>
      <x:c r="E6" s="74" t="n">
        <x:f>SUM(E10:E12)</x:f>
        <x:v>32864964.32</x:v>
      </x:c>
      <x:c r="F6" s="74" t="n">
        <x:f>SUM(F10:F12)</x:f>
        <x:v>33881930.72</x:v>
      </x:c>
      <x:c r="G6" s="74" t="n">
        <x:f>SUM(G10:G12)</x:f>
        <x:v>22176631.07</x:v>
      </x:c>
      <x:c r="H6" s="74" t="n">
        <x:f>SUM(H10:H12)</x:f>
        <x:v>23169053.86</x:v>
      </x:c>
      <x:c r="I6" s="74" t="n">
        <x:f>SUM(I10:I12)</x:f>
        <x:v>10688333.25</x:v>
      </x:c>
      <x:c r="J6" s="74" t="n">
        <x:f>SUM(J10:J12)</x:f>
        <x:v>10712876.86</x:v>
      </x:c>
      <x:c r="K6" s="74" t="n">
        <x:f>IF(C6=0,"",(D6-C6)*(I6/C6))</x:f>
        <x:v>153524.80696559575</x:v>
      </x:c>
      <x:c r="L6" s="74" t="n">
        <x:f>SUM(S10:S12)</x:f>
        <x:v>174556.13576624385</x:v>
      </x:c>
      <x:c r="M6" s="74" t="n">
        <x:f>SUM(M10:M12)</x:f>
        <x:v>146105.41491019042</x:v>
      </x:c>
      <x:c r="N6" s="74" t="n">
        <x:f>SUM(N10:N12)</x:f>
        <x:v>-449642.74764203164</x:v>
      </x:c>
      <x:c r="O6" s="74" t="n">
        <x:f>IF(COUNT(K6:N6)&lt;4,"",SUM(K6:N6))</x:f>
        <x:v>24543.609999998356</x:v>
      </x:c>
      <x:c r="P6" s="74" t="n">
        <x:f>J6-I6</x:f>
        <x:v>24543.609999999404</x:v>
      </x:c>
      <x:c r="Q6" s="74" t="n">
        <x:f>IF(OR(O6="",P6=""),"",O6-P6)</x:f>
        <x:v>-1.0477378964424133e-9</x:v>
      </x:c>
      <x:c r="R6" s="77" t="str">
        <x:f>"Company portfolio bridge; mix is measured across product lines."</x:f>
        <x:v>Company portfolio bridge; mix is measured across product lines.</x:v>
      </x:c>
      <x:c r="S6" s="69" t="str">
        <x:f>""</x:f>
      </x:c>
    </x:row>
    <x:row r="7">
      <x:c r="C7" s="72"/>
      <x:c r="D7" s="72"/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8"/>
    </x:row>
    <x:row r="8">
      <x:c r="C8" s="72"/>
      <x:c r="D8" s="72"/>
      <x:c r="E8" s="75"/>
      <x:c r="F8" s="75"/>
      <x:c r="G8" s="75"/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8"/>
    </x:row>
    <x:row r="9">
      <x:c r="C9" s="72"/>
      <x:c r="D9" s="72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8"/>
    </x:row>
    <x:row r="10">
      <x:c r="A10" s="21" t="str">
        <x:v>Product Line</x:v>
      </x:c>
      <x:c r="B10" s="21" t="str">
        <x:v>Battery Management Components</x:v>
      </x:c>
      <x:c r="C10" s="29" t="n">
        <x:f>SUMIFS(Data!$F$6:$F$41,Data!$B$6:$B$41,$B10)</x:f>
        <x:v>82469</x:v>
      </x:c>
      <x:c r="D10" s="29" t="n">
        <x:f>SUMIFS(Data!$G$6:$G$41,Data!$B$6:$B$41,$B10)</x:f>
        <x:v>89262</x:v>
      </x:c>
      <x:c r="E10" s="26" t="n">
        <x:f>SUMIFS(Data!$P$6:$P$41,Data!$B$6:$B$41,$B10)</x:f>
        <x:v>12032415.4</x:v>
      </x:c>
      <x:c r="F10" s="26" t="n">
        <x:f>SUMIFS(Data!$X$6:$X$41,Data!$B$6:$B$41,$B10)</x:f>
        <x:v>13151385.129999999</x:v>
      </x:c>
      <x:c r="G10" s="26" t="n">
        <x:f>SUMIFS(Data!$U$6:$U$41,Data!$B$6:$B$41,$B10)</x:f>
        <x:v>7650529.24</x:v>
      </x:c>
      <x:c r="H10" s="26" t="n">
        <x:f>SUMIFS(Data!$AC$6:$AC$41,Data!$B$6:$B$41,$B10)</x:f>
        <x:v>8440634.959999999</x:v>
      </x:c>
      <x:c r="I10" s="26" t="n">
        <x:f>SUMIFS(Data!$V$6:$V$41,Data!$B$6:$B$41,$B10)</x:f>
        <x:v>4381886.159999999</x:v>
      </x:c>
      <x:c r="J10" s="26" t="n">
        <x:f>SUMIFS(Data!$AD$6:$AD$41,Data!$B$6:$B$41,$B10)</x:f>
        <x:v>4710750.17</x:v>
      </x:c>
      <x:c r="K10" s="26" t="n">
        <x:f>IF(C10=0,"",(D10-C10)*(I10/C10))</x:f>
        <x:v>360937.4757166935</x:v>
      </x:c>
      <x:c r="L10" s="26" t="str">
        <x:f>""</x:f>
      </x:c>
      <x:c r="M10" s="26" t="n">
        <x:f>IF(OR(C10=0,D10=0),"",D10*(F10/D10-E10/C10))</x:f>
        <x:v>127855.51966399443</x:v>
      </x:c>
      <x:c r="N10" s="26" t="n">
        <x:f>IF(OR(C10=0,D10=0),"",-D10*(H10/D10-G10/C10))</x:f>
        <x:v>-159928.98538068755</x:v>
      </x:c>
      <x:c r="O10" s="26" t="n">
        <x:f>IF(COUNT(K10,M10,N10)&lt;3,"",SUM(K10,M10,N10))</x:f>
        <x:v>328864.01000000036</x:v>
      </x:c>
      <x:c r="P10" s="26" t="n">
        <x:f>J10-I10</x:f>
        <x:v>328864.0100000007</x:v>
      </x:c>
      <x:c r="Q10" s="26" t="n">
        <x:f>IF(OR(O10="",P10=""),"",O10-P10)</x:f>
        <x:v>-3.4924596548080444e-10</x:v>
      </x:c>
      <x:c r="R10" s="79" t="str">
        <x:f>"Mix is not applicable at a single-product level."</x:f>
        <x:v>Mix is not applicable at a single-product level.</x:v>
      </x:c>
      <x:c r="S10" s="21" t="n">
        <x:f>IF(OR($C$6=0,$D$6=0,C10=0),"",$D$6*(D10/$D$6-C10/$C$6)*(I10/C10))</x:f>
        <x:v>297997.0516932172</x:v>
      </x:c>
    </x:row>
    <x:row r="11">
      <x:c r="A11" s="21" t="str">
        <x:v>Product Line</x:v>
      </x:c>
      <x:c r="B11" s="21" t="str">
        <x:v>Electric Motor Components</x:v>
      </x:c>
      <x:c r="C11" s="29" t="n">
        <x:f>SUMIFS(Data!$F$6:$F$41,Data!$B$6:$B$41,$B11)</x:f>
        <x:v>129311</x:v>
      </x:c>
      <x:c r="D11" s="29" t="n">
        <x:f>SUMIFS(Data!$G$6:$G$41,Data!$B$6:$B$41,$B11)</x:f>
        <x:v>127811</x:v>
      </x:c>
      <x:c r="E11" s="26" t="n">
        <x:f>SUMIFS(Data!$P$6:$P$41,Data!$B$6:$B$41,$B11)</x:f>
        <x:v>11969587.600000001</x:v>
      </x:c>
      <x:c r="F11" s="26" t="n">
        <x:f>SUMIFS(Data!$X$6:$X$41,Data!$B$6:$B$41,$B11)</x:f>
        <x:v>11909268.28</x:v>
      </x:c>
      <x:c r="G11" s="26" t="n">
        <x:f>SUMIFS(Data!$U$6:$U$41,Data!$B$6:$B$41,$B11)</x:f>
        <x:v>8605063.100000001</x:v>
      </x:c>
      <x:c r="H11" s="26" t="n">
        <x:f>SUMIFS(Data!$AC$6:$AC$41,Data!$B$6:$B$41,$B11)</x:f>
        <x:v>8691798.14</x:v>
      </x:c>
      <x:c r="I11" s="26" t="n">
        <x:f>SUMIFS(Data!$V$6:$V$41,Data!$B$6:$B$41,$B11)</x:f>
        <x:v>3364524.500000001</x:v>
      </x:c>
      <x:c r="J11" s="26" t="n">
        <x:f>SUMIFS(Data!$AD$6:$AD$41,Data!$B$6:$B$41,$B11)</x:f>
        <x:v>3217470.1399999997</x:v>
      </x:c>
      <x:c r="K11" s="26" t="n">
        <x:f>IF(C11=0,"",(D11-C11)*(I11/C11))</x:f>
        <x:v>-39028.28645668196</x:v>
      </x:c>
      <x:c r="L11" s="26" t="str">
        <x:f>""</x:f>
      </x:c>
      <x:c r="M11" s="26" t="n">
        <x:f>IF(OR(C11=0,D11=0),"",D11*(F11/D11-E11/C11))</x:f>
        <x:v>78527.1926710002</x:v>
      </x:c>
      <x:c r="N11" s="26" t="n">
        <x:f>IF(OR(C11=0,D11=0),"",-D11*(H11/D11-G11/C11))</x:f>
        <x:v>-186553.26621431892</x:v>
      </x:c>
      <x:c r="O11" s="26" t="n">
        <x:f>IF(COUNT(K11,M11,N11)&lt;3,"",SUM(K11,M11,N11))</x:f>
        <x:v>-147054.36000000068</x:v>
      </x:c>
      <x:c r="P11" s="26" t="n">
        <x:f>J11-I11</x:f>
        <x:v>-147054.36000000127</x:v>
      </x:c>
      <x:c r="Q11" s="26" t="n">
        <x:f>IF(OR(O11="",P11=""),"",O11-P11)</x:f>
        <x:v>5.820766091346741e-10</x:v>
      </x:c>
      <x:c r="R11" s="79" t="str">
        <x:f>"Mix is not applicable at a single-product level."</x:f>
        <x:v>Mix is not applicable at a single-product level.</x:v>
      </x:c>
      <x:c r="S11" s="21" t="n">
        <x:f>IF(OR($C$6=0,$D$6=0,C11=0),"",$D$6*(D11/$D$6-C11/$C$6)*(I11/C11))</x:f>
        <x:v>-87355.55716500494</x:v>
      </x:c>
    </x:row>
    <x:row r="12">
      <x:c r="A12" s="70" t="str">
        <x:v>Product Line</x:v>
      </x:c>
      <x:c r="B12" s="70" t="str">
        <x:v>Automotive Sensors</x:v>
      </x:c>
      <x:c r="C12" s="73" t="n">
        <x:f>SUMIFS(Data!$F$6:$F$41,Data!$B$6:$B$41,$B12)</x:f>
        <x:v>183520</x:v>
      </x:c>
      <x:c r="D12" s="73" t="n">
        <x:f>SUMIFS(Data!$G$6:$G$41,Data!$B$6:$B$41,$B12)</x:f>
        <x:v>183905</x:v>
      </x:c>
      <x:c r="E12" s="76" t="n">
        <x:f>SUMIFS(Data!$P$6:$P$41,Data!$B$6:$B$41,$B12)</x:f>
        <x:v>8862961.32</x:v>
      </x:c>
      <x:c r="F12" s="76" t="n">
        <x:f>SUMIFS(Data!$X$6:$X$41,Data!$B$6:$B$41,$B12)</x:f>
        <x:v>8821277.31</x:v>
      </x:c>
      <x:c r="G12" s="76" t="n">
        <x:f>SUMIFS(Data!$U$6:$U$41,Data!$B$6:$B$41,$B12)</x:f>
        <x:v>5921038.73</x:v>
      </x:c>
      <x:c r="H12" s="76" t="n">
        <x:f>SUMIFS(Data!$AC$6:$AC$41,Data!$B$6:$B$41,$B12)</x:f>
        <x:v>6036620.76</x:v>
      </x:c>
      <x:c r="I12" s="76" t="n">
        <x:f>SUMIFS(Data!$V$6:$V$41,Data!$B$6:$B$41,$B12)</x:f>
        <x:v>2941922.59</x:v>
      </x:c>
      <x:c r="J12" s="76" t="n">
        <x:f>SUMIFS(Data!$AD$6:$AD$41,Data!$B$6:$B$41,$B12)</x:f>
        <x:v>2784656.5500000003</x:v>
      </x:c>
      <x:c r="K12" s="76" t="n">
        <x:f>IF(C12=0,"",(D12-C12)*(I12/C12))</x:f>
        <x:v>6171.753471828683</x:v>
      </x:c>
      <x:c r="L12" s="76" t="str">
        <x:f>""</x:f>
      </x:c>
      <x:c r="M12" s="76" t="n">
        <x:f>IF(OR(C12=0,D12=0),"",D12*(F12/D12-E12/C12))</x:f>
        <x:v>-60277.29742480421</x:v>
      </x:c>
      <x:c r="N12" s="76" t="n">
        <x:f>IF(OR(C12=0,D12=0),"",-D12*(H12/D12-G12/C12))</x:f>
        <x:v>-103160.49604702517</x:v>
      </x:c>
      <x:c r="O12" s="76" t="n">
        <x:f>IF(COUNT(K12,M12,N12)&lt;3,"",SUM(K12,M12,N12))</x:f>
        <x:v>-157266.04000000068</x:v>
      </x:c>
      <x:c r="P12" s="76" t="n">
        <x:f>J12-I12</x:f>
        <x:v>-157266.03999999957</x:v>
      </x:c>
      <x:c r="Q12" s="76" t="n">
        <x:f>IF(OR(O12="",P12=""),"",O12-P12)</x:f>
        <x:v>-1.1059455573558807e-9</x:v>
      </x:c>
      <x:c r="R12" s="80" t="str">
        <x:f>"Mix is not applicable at a single-product level."</x:f>
        <x:v>Mix is not applicable at a single-product level.</x:v>
      </x:c>
      <x:c r="S12" s="70" t="n">
        <x:f>IF(OR($C$6=0,$D$6=0,C12=0),"",$D$6*(D12/$D$6-C12/$C$6)*(I12/C12))</x:f>
        <x:v>-36085.35876196837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9AD7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31" hidden="0" customWidth="1"/>
    <x:col min="3" max="3" width="9.220000267028809" hidden="0" customWidth="1"/>
    <x:col min="4" max="4" width="18" hidden="0" customWidth="1"/>
    <x:col min="5" max="5" width="18" hidden="0" customWidth="1"/>
    <x:col min="6" max="6" width="17.780000686645508" hidden="0" customWidth="1"/>
    <x:col min="7" max="7" width="17.219999313354492" hidden="0" customWidth="1"/>
    <x:col min="8" max="8" width="15.109999656677246" hidden="0" customWidth="1"/>
    <x:col min="9" max="9" width="14.5600004196167" hidden="0" customWidth="1"/>
    <x:col min="10" max="10" width="20.780000686645508" hidden="0" customWidth="1"/>
    <x:col min="11" max="11" width="20.219999313354492" hidden="0" customWidth="1"/>
    <x:col min="12" max="12" width="19.329999923706055" hidden="0" customWidth="1"/>
    <x:col min="13" max="13" width="18.780000686645508" hidden="0" customWidth="1"/>
    <x:col min="14" max="14" width="22.110000610351562" hidden="0" customWidth="1"/>
    <x:col min="15" max="15" width="21.440000534057617" hidden="0" customWidth="1"/>
    <x:col min="16" max="16" width="14.4399995803833" hidden="0" customWidth="1"/>
    <x:col min="17" max="17" width="15.890000343322754" hidden="0" customWidth="1"/>
    <x:col min="18" max="18" width="17.559999465942383" hidden="0" customWidth="1"/>
    <x:col min="19" max="19" width="16.110000610351562" hidden="0" customWidth="1"/>
    <x:col min="20" max="20" width="25.670000076293945" hidden="0" customWidth="1"/>
    <x:col min="21" max="21" width="12.5600004196167" hidden="0" customWidth="1"/>
    <x:col min="22" max="22" width="16.780000686645508" hidden="0" customWidth="1"/>
    <x:col min="23" max="23" width="17.780000686645508" hidden="0" customWidth="1"/>
    <x:col min="24" max="24" width="13.890000343322754" hidden="0" customWidth="1"/>
    <x:col min="25" max="25" width="15.329999923706055" hidden="0" customWidth="1"/>
    <x:col min="26" max="26" width="17" hidden="0" customWidth="1"/>
    <x:col min="27" max="27" width="15.4399995803833" hidden="0" customWidth="1"/>
    <x:col min="28" max="28" width="25.110000610351562" hidden="0" customWidth="1"/>
    <x:col min="29" max="29" width="12" hidden="0" customWidth="1"/>
    <x:col min="30" max="30" width="16.219999313354492" hidden="0" customWidth="1"/>
    <x:col min="31" max="31" width="17.219999313354492" hidden="0" customWidth="1"/>
    <x:col min="32" max="32" width="18.780000686645508" hidden="0" customWidth="1"/>
    <x:col min="33" max="33" width="20.440000534057617" hidden="0" customWidth="1"/>
    <x:col min="34" max="34" width="15.4399995803833" hidden="0" customWidth="1"/>
    <x:col min="35" max="35" width="17.110000610351562" hidden="0" customWidth="1"/>
    <x:col min="36" max="36" width="13.5600004196167" hidden="0" customWidth="1"/>
    <x:col min="37" max="37" width="15.329999923706055" hidden="0" customWidth="1"/>
    <x:col min="38" max="38" width="17.780000686645508" hidden="0" customWidth="1"/>
    <x:col min="39" max="39" width="19.559999465942383" hidden="0" customWidth="1"/>
    <x:col min="40" max="40" width="22" hidden="0" customWidth="1"/>
    <x:col min="41" max="41" width="19.110000610351562" hidden="0" customWidth="1"/>
    <x:col min="42" max="42" width="17.440000534057617" hidden="0" customWidth="1"/>
  </x:cols>
  <x:sheetData>
    <x:row r="2">
      <x:c r="A2" s="2" t="str">
        <x:v>Detailed Financial Dataset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3" t="str">
        <x:v>Blue values are editable drivers; black cells are Excel formulas | Synthetic Data / Simulated Company | EUR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</x:row>
    <x:row r="5">
      <x:c r="A5" s="15" t="str">
        <x:v>Month</x:v>
      </x:c>
      <x:c r="B5" s="16" t="str">
        <x:v>Product Line</x:v>
      </x:c>
      <x:c r="C5" s="16" t="str">
        <x:v>Currency</x:v>
      </x:c>
      <x:c r="D5" s="16" t="str">
        <x:v>Data Classification</x:v>
      </x:c>
      <x:c r="E5" s="16" t="str">
        <x:v>Company Type</x:v>
      </x:c>
      <x:c r="F5" s="16" t="str">
        <x:v>Budget Sales Volume</x:v>
      </x:c>
      <x:c r="G5" s="16" t="str">
        <x:v>Actual Sales Volume</x:v>
      </x:c>
      <x:c r="H5" s="16" t="str">
        <x:v>Budget Unit Price</x:v>
      </x:c>
      <x:c r="I5" s="16" t="str">
        <x:v>Actual Unit Price</x:v>
      </x:c>
      <x:c r="J5" s="16" t="str">
        <x:v>Budget Material Unit Cost</x:v>
      </x:c>
      <x:c r="K5" s="16" t="str">
        <x:v>Actual Material Unit Cost</x:v>
      </x:c>
      <x:c r="L5" s="16" t="str">
        <x:v>Budget Labor Unit Cost</x:v>
      </x:c>
      <x:c r="M5" s="16" t="str">
        <x:v>Actual Labor Unit Cost</x:v>
      </x:c>
      <x:c r="N5" s="16" t="str">
        <x:v>Budget Overhead Unit Cost</x:v>
      </x:c>
      <x:c r="O5" s="16" t="str">
        <x:v>Actual Overhead Unit Cost</x:v>
      </x:c>
      <x:c r="P5" s="16" t="str">
        <x:v>Budget Revenue</x:v>
      </x:c>
      <x:c r="Q5" s="16" t="str">
        <x:v>Budget Unit COGS</x:v>
      </x:c>
      <x:c r="R5" s="16" t="str">
        <x:v>Budget Material Cost</x:v>
      </x:c>
      <x:c r="S5" s="16" t="str">
        <x:v>Budget Labor Cost</x:v>
      </x:c>
      <x:c r="T5" s="16" t="str">
        <x:v>Budget Manufacturing Overhead</x:v>
      </x:c>
      <x:c r="U5" s="16" t="str">
        <x:v>Budget COGS</x:v>
      </x:c>
      <x:c r="V5" s="16" t="str">
        <x:v>Budget Gross Profit</x:v>
      </x:c>
      <x:c r="W5" s="16" t="str">
        <x:v>Budget Gross Margin</x:v>
      </x:c>
      <x:c r="X5" s="16" t="str">
        <x:v>Actual Revenue</x:v>
      </x:c>
      <x:c r="Y5" s="16" t="str">
        <x:v>Actual Unit COGS</x:v>
      </x:c>
      <x:c r="Z5" s="16" t="str">
        <x:v>Actual Material Cost</x:v>
      </x:c>
      <x:c r="AA5" s="16" t="str">
        <x:v>Actual Labor Cost</x:v>
      </x:c>
      <x:c r="AB5" s="16" t="str">
        <x:v>Actual Manufacturing Overhead</x:v>
      </x:c>
      <x:c r="AC5" s="16" t="str">
        <x:v>Actual COGS</x:v>
      </x:c>
      <x:c r="AD5" s="16" t="str">
        <x:v>Actual Gross Profit</x:v>
      </x:c>
      <x:c r="AE5" s="16" t="str">
        <x:v>Actual Gross Margin</x:v>
      </x:c>
      <x:c r="AF5" s="16" t="str">
        <x:v>Sales Volume Variance</x:v>
      </x:c>
      <x:c r="AG5" s="16" t="str">
        <x:v>Sales Volume Variance %</x:v>
      </x:c>
      <x:c r="AH5" s="16" t="str">
        <x:v>Revenue Variance</x:v>
      </x:c>
      <x:c r="AI5" s="16" t="str">
        <x:v>Revenue Variance %</x:v>
      </x:c>
      <x:c r="AJ5" s="16" t="str">
        <x:v>COGS Variance</x:v>
      </x:c>
      <x:c r="AK5" s="16" t="str">
        <x:v>COGS Variance %</x:v>
      </x:c>
      <x:c r="AL5" s="16" t="str">
        <x:v>Gross Profit Variance</x:v>
      </x:c>
      <x:c r="AM5" s="16" t="str">
        <x:v>Gross Profit Variance %</x:v>
      </x:c>
      <x:c r="AN5" s="16" t="str">
        <x:v>Gross Margin Variance (pp)</x:v>
      </x:c>
      <x:c r="AO5" s="16" t="str">
        <x:v>Revenue Volume Effect</x:v>
      </x:c>
      <x:c r="AP5" s="17" t="str">
        <x:v>Revenue Price Effect</x:v>
      </x:c>
    </x:row>
    <x:row r="6">
      <x:c r="A6" s="23" t="str">
        <x:v>2025-01</x:v>
      </x:c>
      <x:c r="B6" s="21" t="str">
        <x:v>Electric Motor Components</x:v>
      </x:c>
      <x:c r="C6" s="21" t="str">
        <x:v>EUR</x:v>
      </x:c>
      <x:c r="D6" s="21" t="str">
        <x:v>Synthetic Data</x:v>
      </x:c>
      <x:c r="E6" s="21" t="str">
        <x:v>Simulated Company</x:v>
      </x:c>
      <x:c r="F6" s="24" t="n">
        <x:v>9660</x:v>
      </x:c>
      <x:c r="G6" s="24" t="n">
        <x:v>9470</x:v>
      </x:c>
      <x:c r="H6" s="25" t="n">
        <x:v>92</x:v>
      </x:c>
      <x:c r="I6" s="25" t="n">
        <x:v>92.67</x:v>
      </x:c>
      <x:c r="J6" s="25" t="n">
        <x:v>39</x:v>
      </x:c>
      <x:c r="K6" s="25" t="n">
        <x:v>38.84</x:v>
      </x:c>
      <x:c r="L6" s="25" t="n">
        <x:v>14.5</x:v>
      </x:c>
      <x:c r="M6" s="25" t="n">
        <x:v>14.77</x:v>
      </x:c>
      <x:c r="N6" s="25" t="n">
        <x:v>12.5</x:v>
      </x:c>
      <x:c r="O6" s="25" t="n">
        <x:v>12.74</x:v>
      </x:c>
      <x:c r="P6" s="26" t="n">
        <x:f>IF(COUNT(F6,H6)&lt;2,"",F6*H6)</x:f>
        <x:v>888720</x:v>
      </x:c>
      <x:c r="Q6" s="26" t="n">
        <x:f>IF(COUNT(J6,L6,N6)&lt;3,"",SUM(J6,L6,N6))</x:f>
        <x:v>66</x:v>
      </x:c>
      <x:c r="R6" s="26" t="n">
        <x:f>IF(COUNT(F6,J6)&lt;2,"",F6*J6)</x:f>
        <x:v>376740</x:v>
      </x:c>
      <x:c r="S6" s="26" t="n">
        <x:f>IF(COUNT(F6,L6)&lt;2,"",F6*L6)</x:f>
        <x:v>140070</x:v>
      </x:c>
      <x:c r="T6" s="21" t="n">
        <x:f>IF(COUNT(F6,N6)&lt;2,"",F6*N6)</x:f>
        <x:v>120750</x:v>
      </x:c>
      <x:c r="U6" s="26" t="n">
        <x:f>IF(COUNT(R6:T6)&lt;3,"",SUM(R6:T6))</x:f>
        <x:v>637560</x:v>
      </x:c>
      <x:c r="V6" s="26" t="n">
        <x:f>IF(COUNT(P6,U6)&lt;2,"",P6-U6)</x:f>
        <x:v>251160</x:v>
      </x:c>
      <x:c r="W6" s="28" t="n">
        <x:f>IF(OR(P6="",P6=0,V6=""),"",V6/P6)</x:f>
        <x:v>0.2826086956521739</x:v>
      </x:c>
      <x:c r="X6" s="26" t="n">
        <x:f>IF(COUNT(G6,I6)&lt;2,"",G6*I6)</x:f>
        <x:v>877584.9</x:v>
      </x:c>
      <x:c r="Y6" s="26" t="n">
        <x:f>IF(COUNT(K6,M6,O6)&lt;3,"",SUM(K6,M6,O6))</x:f>
        <x:v>66.35</x:v>
      </x:c>
      <x:c r="Z6" s="26" t="n">
        <x:f>IF(COUNT(G6,K6)&lt;2,"",G6*K6)</x:f>
        <x:v>367814.80000000005</x:v>
      </x:c>
      <x:c r="AA6" s="26" t="n">
        <x:f>IF(COUNT(G6,M6)&lt;2,"",G6*M6)</x:f>
        <x:v>139871.9</x:v>
      </x:c>
      <x:c r="AB6" s="21" t="n">
        <x:f>IF(COUNT(G6,O6)&lt;2,"",G6*O6)</x:f>
        <x:v>120647.8</x:v>
      </x:c>
      <x:c r="AC6" s="26" t="n">
        <x:f>IF(COUNT(Z6:AB6)&lt;3,"",SUM(Z6:AB6))</x:f>
        <x:v>628334.5000000001</x:v>
      </x:c>
      <x:c r="AD6" s="26" t="n">
        <x:f>IF(COUNT(X6,AC6)&lt;2,"",X6-AC6)</x:f>
        <x:v>249250.3999999999</x:v>
      </x:c>
      <x:c r="AE6" s="28" t="n">
        <x:f>IF(OR(X6="",X6=0,AD6=""),"",AD6/X6)</x:f>
        <x:v>0.2840185604834357</x:v>
      </x:c>
      <x:c r="AF6" s="29" t="n">
        <x:f>IF(COUNT(F6,G6)&lt;2,"",G6-F6)</x:f>
        <x:v>-190</x:v>
      </x:c>
      <x:c r="AG6" s="30" t="n">
        <x:f>IF(OR(F6="",F6=0,AF6=""),"",AF6/ABS(F6))</x:f>
        <x:v>-0.019668737060041408</x:v>
      </x:c>
      <x:c r="AH6" s="26" t="n">
        <x:f>IF(COUNT(P6,X6)&lt;2,"",X6-P6)</x:f>
        <x:v>-11135.099999999977</x:v>
      </x:c>
      <x:c r="AI6" s="30" t="n">
        <x:f>IF(OR(P6="",P6=0,AH6=""),"",AH6/ABS(P6))</x:f>
        <x:v>-0.012529368079935162</x:v>
      </x:c>
      <x:c r="AJ6" s="26" t="n">
        <x:f>IF(COUNT(U6,AC6)&lt;2,"",AC6-U6)</x:f>
        <x:v>-9225.499999999884</x:v>
      </x:c>
      <x:c r="AK6" s="30" t="n">
        <x:f>IF(OR(U6="",U6=0,AJ6=""),"",AJ6/ABS(U6))</x:f>
        <x:v>-0.014470010665662657</x:v>
      </x:c>
      <x:c r="AL6" s="26" t="n">
        <x:f>IF(COUNT(V6,AD6)&lt;2,"",AD6-V6)</x:f>
        <x:v>-1909.6000000000931</x:v>
      </x:c>
      <x:c r="AM6" s="30" t="n">
        <x:f>IF(OR(V6="",V6=0,AL6=""),"",AL6/ABS(V6))</x:f>
        <x:v>-0.007603121516165365</x:v>
      </x:c>
      <x:c r="AN6" s="26" t="n">
        <x:f>IF(OR(W6="",AE6=""),"",(AE6-W6)*100)</x:f>
        <x:v>0.140986483126182</x:v>
      </x:c>
      <x:c r="AO6" s="26" t="n">
        <x:f>IF(COUNT(F6,G6,H6)&lt;3,"",(G6-F6)*H6)</x:f>
        <x:v>-17480</x:v>
      </x:c>
      <x:c r="AP6" s="26" t="n">
        <x:f>IF(COUNT(G6,H6,I6)&lt;3,"",G6*(I6-H6))</x:f>
        <x:v>6344.900000000016</x:v>
      </x:c>
    </x:row>
    <x:row r="7">
      <x:c r="A7" s="23" t="str">
        <x:v>2025-02</x:v>
      </x:c>
      <x:c r="B7" s="21" t="str">
        <x:v>Electric Motor Components</x:v>
      </x:c>
      <x:c r="C7" s="21" t="str">
        <x:v>EUR</x:v>
      </x:c>
      <x:c r="D7" s="21" t="str">
        <x:v>Synthetic Data</x:v>
      </x:c>
      <x:c r="E7" s="21" t="str">
        <x:v>Simulated Company</x:v>
      </x:c>
      <x:c r="F7" s="24" t="n">
        <x:v>9998</x:v>
      </x:c>
      <x:c r="G7" s="24" t="n">
        <x:v>9580</x:v>
      </x:c>
      <x:c r="H7" s="25" t="n">
        <x:v>92.1</x:v>
      </x:c>
      <x:c r="I7" s="25" t="n">
        <x:v>92.07</x:v>
      </x:c>
      <x:c r="J7" s="25" t="n">
        <x:v>39.06</x:v>
      </x:c>
      <x:c r="K7" s="25" t="n">
        <x:v>39.26</x:v>
      </x:c>
      <x:c r="L7" s="25" t="n">
        <x:v>14.53</x:v>
      </x:c>
      <x:c r="M7" s="25" t="n">
        <x:v>14.79</x:v>
      </x:c>
      <x:c r="N7" s="25" t="n">
        <x:v>12.51</x:v>
      </x:c>
      <x:c r="O7" s="25" t="n">
        <x:v>12.78</x:v>
      </x:c>
      <x:c r="P7" s="26" t="n">
        <x:f>IF(COUNT(F7,H7)&lt;2,"",F7*H7)</x:f>
        <x:v>920815.7999999999</x:v>
      </x:c>
      <x:c r="Q7" s="26" t="n">
        <x:f>IF(COUNT(J7,L7,N7)&lt;3,"",SUM(J7,L7,N7))</x:f>
        <x:v>66.10000000000001</x:v>
      </x:c>
      <x:c r="R7" s="26" t="n">
        <x:f>IF(COUNT(F7,J7)&lt;2,"",F7*J7)</x:f>
        <x:v>390521.88</x:v>
      </x:c>
      <x:c r="S7" s="26" t="n">
        <x:f>IF(COUNT(F7,L7)&lt;2,"",F7*L7)</x:f>
        <x:v>145270.94</x:v>
      </x:c>
      <x:c r="T7" s="21" t="n">
        <x:f>IF(COUNT(F7,N7)&lt;2,"",F7*N7)</x:f>
        <x:v>125074.98</x:v>
      </x:c>
      <x:c r="U7" s="26" t="n">
        <x:f>IF(COUNT(R7:T7)&lt;3,"",SUM(R7:T7))</x:f>
        <x:v>660867.8</x:v>
      </x:c>
      <x:c r="V7" s="26" t="n">
        <x:f>IF(COUNT(P7,U7)&lt;2,"",P7-U7)</x:f>
        <x:v>259947.99999999988</x:v>
      </x:c>
      <x:c r="W7" s="28" t="n">
        <x:f>IF(OR(P7="",P7=0,V7=""),"",V7/P7)</x:f>
        <x:v>0.28230184581976103</x:v>
      </x:c>
      <x:c r="X7" s="26" t="n">
        <x:f>IF(COUNT(G7,I7)&lt;2,"",G7*I7)</x:f>
        <x:v>882030.6</x:v>
      </x:c>
      <x:c r="Y7" s="26" t="n">
        <x:f>IF(COUNT(K7,M7,O7)&lt;3,"",SUM(K7,M7,O7))</x:f>
        <x:v>66.83</x:v>
      </x:c>
      <x:c r="Z7" s="26" t="n">
        <x:f>IF(COUNT(G7,K7)&lt;2,"",G7*K7)</x:f>
        <x:v>376110.8</x:v>
      </x:c>
      <x:c r="AA7" s="26" t="n">
        <x:f>IF(COUNT(G7,M7)&lt;2,"",G7*M7)</x:f>
        <x:v>141688.19999999998</x:v>
      </x:c>
      <x:c r="AB7" s="21" t="n">
        <x:f>IF(COUNT(G7,O7)&lt;2,"",G7*O7)</x:f>
        <x:v>122432.4</x:v>
      </x:c>
      <x:c r="AC7" s="26" t="n">
        <x:f>IF(COUNT(Z7:AB7)&lt;3,"",SUM(Z7:AB7))</x:f>
        <x:v>640231.4</x:v>
      </x:c>
      <x:c r="AD7" s="26" t="n">
        <x:f>IF(COUNT(X7,AC7)&lt;2,"",X7-AC7)</x:f>
        <x:v>241799.19999999995</x:v>
      </x:c>
      <x:c r="AE7" s="28" t="n">
        <x:f>IF(OR(X7="",X7=0,AD7=""),"",AD7/X7)</x:f>
        <x:v>0.27413924188117733</x:v>
      </x:c>
      <x:c r="AF7" s="29" t="n">
        <x:f>IF(COUNT(F7,G7)&lt;2,"",G7-F7)</x:f>
        <x:v>-418</x:v>
      </x:c>
      <x:c r="AG7" s="30" t="n">
        <x:f>IF(OR(F7="",F7=0,AF7=""),"",AF7/ABS(F7))</x:f>
        <x:v>-0.04180836167233447</x:v>
      </x:c>
      <x:c r="AH7" s="26" t="n">
        <x:f>IF(COUNT(P7,X7)&lt;2,"",X7-P7)</x:f>
        <x:v>-38785.19999999995</x:v>
      </x:c>
      <x:c r="AI7" s="30" t="n">
        <x:f>IF(OR(P7="",P7=0,AH7=""),"",AH7/ABS(P7))</x:f>
        <x:v>-0.042120476212506294</x:v>
      </x:c>
      <x:c r="AJ7" s="26" t="n">
        <x:f>IF(COUNT(U7,AC7)&lt;2,"",AC7-U7)</x:f>
        <x:v>-20636.400000000023</x:v>
      </x:c>
      <x:c r="AK7" s="30" t="n">
        <x:f>IF(OR(U7="",U7=0,AJ7=""),"",AJ7/ABS(U7))</x:f>
        <x:v>-0.031226214985811112</x:v>
      </x:c>
      <x:c r="AL7" s="26" t="n">
        <x:f>IF(COUNT(V7,AD7)&lt;2,"",AD7-V7)</x:f>
        <x:v>-18148.79999999993</x:v>
      </x:c>
      <x:c r="AM7" s="30" t="n">
        <x:f>IF(OR(V7="",V7=0,AL7=""),"",AL7/ABS(V7))</x:f>
        <x:v>-0.06981704033114292</x:v>
      </x:c>
      <x:c r="AN7" s="26" t="n">
        <x:f>IF(OR(W7="",AE7=""),"",(AE7-W7)*100)</x:f>
        <x:v>-0.8162603938583701</x:v>
      </x:c>
      <x:c r="AO7" s="26" t="n">
        <x:f>IF(COUNT(F7,G7,H7)&lt;3,"",(G7-F7)*H7)</x:f>
        <x:v>-38497.799999999996</x:v>
      </x:c>
      <x:c r="AP7" s="26" t="n">
        <x:f>IF(COUNT(G7,H7,I7)&lt;3,"",G7*(I7-H7))</x:f>
        <x:v>-287.4000000000109</x:v>
      </x:c>
    </x:row>
    <x:row r="8">
      <x:c r="A8" s="23" t="str">
        <x:v>2025-03</x:v>
      </x:c>
      <x:c r="B8" s="21" t="str">
        <x:v>Electric Motor Components</x:v>
      </x:c>
      <x:c r="C8" s="21" t="str">
        <x:v>EUR</x:v>
      </x:c>
      <x:c r="D8" s="21" t="str">
        <x:v>Synthetic Data</x:v>
      </x:c>
      <x:c r="E8" s="21" t="str">
        <x:v>Simulated Company</x:v>
      </x:c>
      <x:c r="F8" s="24" t="n">
        <x:v>10548</x:v>
      </x:c>
      <x:c r="G8" s="24" t="n">
        <x:v>10087</x:v>
      </x:c>
      <x:c r="H8" s="25" t="n">
        <x:v>92.2</x:v>
      </x:c>
      <x:c r="I8" s="25" t="n">
        <x:v>92.62</x:v>
      </x:c>
      <x:c r="J8" s="25" t="n">
        <x:v>39.11</x:v>
      </x:c>
      <x:c r="K8" s="25" t="n">
        <x:v>39.89</x:v>
      </x:c>
      <x:c r="L8" s="25" t="n">
        <x:v>14.55</x:v>
      </x:c>
      <x:c r="M8" s="25" t="n">
        <x:v>14.84</x:v>
      </x:c>
      <x:c r="N8" s="25" t="n">
        <x:v>12.53</x:v>
      </x:c>
      <x:c r="O8" s="25" t="n">
        <x:v>12.88</x:v>
      </x:c>
      <x:c r="P8" s="26" t="n">
        <x:f>IF(COUNT(F8,H8)&lt;2,"",F8*H8)</x:f>
        <x:v>972525.6</x:v>
      </x:c>
      <x:c r="Q8" s="26" t="n">
        <x:f>IF(COUNT(J8,L8,N8)&lt;3,"",SUM(J8,L8,N8))</x:f>
        <x:v>66.19</x:v>
      </x:c>
      <x:c r="R8" s="26" t="n">
        <x:f>IF(COUNT(F8,J8)&lt;2,"",F8*J8)</x:f>
        <x:v>412532.27999999997</x:v>
      </x:c>
      <x:c r="S8" s="26" t="n">
        <x:f>IF(COUNT(F8,L8)&lt;2,"",F8*L8)</x:f>
        <x:v>153473.4</x:v>
      </x:c>
      <x:c r="T8" s="21" t="n">
        <x:f>IF(COUNT(F8,N8)&lt;2,"",F8*N8)</x:f>
        <x:v>132166.44</x:v>
      </x:c>
      <x:c r="U8" s="26" t="n">
        <x:f>IF(COUNT(R8:T8)&lt;3,"",SUM(R8:T8))</x:f>
        <x:v>698172.1199999999</x:v>
      </x:c>
      <x:c r="V8" s="26" t="n">
        <x:f>IF(COUNT(P8,U8)&lt;2,"",P8-U8)</x:f>
        <x:v>274353.4800000001</x:v>
      </x:c>
      <x:c r="W8" s="28" t="n">
        <x:f>IF(OR(P8="",P8=0,V8=""),"",V8/P8)</x:f>
        <x:v>0.2821041214750543</x:v>
      </x:c>
      <x:c r="X8" s="26" t="n">
        <x:f>IF(COUNT(G8,I8)&lt;2,"",G8*I8)</x:f>
        <x:v>934257.9400000001</x:v>
      </x:c>
      <x:c r="Y8" s="26" t="n">
        <x:f>IF(COUNT(K8,M8,O8)&lt;3,"",SUM(K8,M8,O8))</x:f>
        <x:v>67.61</x:v>
      </x:c>
      <x:c r="Z8" s="26" t="n">
        <x:f>IF(COUNT(G8,K8)&lt;2,"",G8*K8)</x:f>
        <x:v>402370.43</x:v>
      </x:c>
      <x:c r="AA8" s="26" t="n">
        <x:f>IF(COUNT(G8,M8)&lt;2,"",G8*M8)</x:f>
        <x:v>149691.08</x:v>
      </x:c>
      <x:c r="AB8" s="21" t="n">
        <x:f>IF(COUNT(G8,O8)&lt;2,"",G8*O8)</x:f>
        <x:v>129920.56000000001</x:v>
      </x:c>
      <x:c r="AC8" s="26" t="n">
        <x:f>IF(COUNT(Z8:AB8)&lt;3,"",SUM(Z8:AB8))</x:f>
        <x:v>681982.0700000001</x:v>
      </x:c>
      <x:c r="AD8" s="26" t="n">
        <x:f>IF(COUNT(X8,AC8)&lt;2,"",X8-AC8)</x:f>
        <x:v>252275.87</x:v>
      </x:c>
      <x:c r="AE8" s="28" t="n">
        <x:f>IF(OR(X8="",X8=0,AD8=""),"",AD8/X8)</x:f>
        <x:v>0.2700280716907795</x:v>
      </x:c>
      <x:c r="AF8" s="29" t="n">
        <x:f>IF(COUNT(F8,G8)&lt;2,"",G8-F8)</x:f>
        <x:v>-461</x:v>
      </x:c>
      <x:c r="AG8" s="30" t="n">
        <x:f>IF(OR(F8="",F8=0,AF8=""),"",AF8/ABS(F8))</x:f>
        <x:v>-0.04370496776640121</x:v>
      </x:c>
      <x:c r="AH8" s="26" t="n">
        <x:f>IF(COUNT(P8,X8)&lt;2,"",X8-P8)</x:f>
        <x:v>-38267.659999999916</x:v>
      </x:c>
      <x:c r="AI8" s="30" t="n">
        <x:f>IF(OR(P8="",P8=0,AH8=""),"",AH8/ABS(P8))</x:f>
        <x:v>-0.039348743107636364</x:v>
      </x:c>
      <x:c r="AJ8" s="26" t="n">
        <x:f>IF(COUNT(U8,AC8)&lt;2,"",AC8-U8)</x:f>
        <x:v>-16190.049999999814</x:v>
      </x:c>
      <x:c r="AK8" s="30" t="n">
        <x:f>IF(OR(U8="",U8=0,AJ8=""),"",AJ8/ABS(U8))</x:f>
        <x:v>-0.023189195810339458</x:v>
      </x:c>
      <x:c r="AL8" s="26" t="n">
        <x:f>IF(COUNT(V8,AD8)&lt;2,"",AD8-V8)</x:f>
        <x:v>-22077.610000000102</x:v>
      </x:c>
      <x:c r="AM8" s="30" t="n">
        <x:f>IF(OR(V8="",V8=0,AL8=""),"",AL8/ABS(V8))</x:f>
        <x:v>-0.08047140499183789</x:v>
      </x:c>
      <x:c r="AN8" s="26" t="n">
        <x:f>IF(OR(W8="",AE8=""),"",(AE8-W8)*100)</x:f>
        <x:v>-1.207604978427479</x:v>
      </x:c>
      <x:c r="AO8" s="26" t="n">
        <x:f>IF(COUNT(F8,G8,H8)&lt;3,"",(G8-F8)*H8)</x:f>
        <x:v>-42504.200000000004</x:v>
      </x:c>
      <x:c r="AP8" s="26" t="n">
        <x:f>IF(COUNT(G8,H8,I8)&lt;3,"",G8*(I8-H8))</x:f>
        <x:v>4236.540000000017</x:v>
      </x:c>
    </x:row>
    <x:row r="9">
      <x:c r="A9" s="23" t="str">
        <x:v>2025-04</x:v>
      </x:c>
      <x:c r="B9" s="21" t="str">
        <x:v>Electric Motor Components</x:v>
      </x:c>
      <x:c r="C9" s="21" t="str">
        <x:v>EUR</x:v>
      </x:c>
      <x:c r="D9" s="21" t="str">
        <x:v>Synthetic Data</x:v>
      </x:c>
      <x:c r="E9" s="21" t="str">
        <x:v>Simulated Company</x:v>
      </x:c>
      <x:c r="F9" s="24" t="n">
        <x:v>10889</x:v>
      </x:c>
      <x:c r="G9" s="24" t="n">
        <x:v>10742</x:v>
      </x:c>
      <x:c r="H9" s="25" t="n">
        <x:v>92.3</x:v>
      </x:c>
      <x:c r="I9" s="25" t="n">
        <x:v>92.71</x:v>
      </x:c>
      <x:c r="J9" s="25" t="n">
        <x:v>39.17</x:v>
      </x:c>
      <x:c r="K9" s="25" t="n">
        <x:v>40.25</x:v>
      </x:c>
      <x:c r="L9" s="25" t="n">
        <x:v>14.58</x:v>
      </x:c>
      <x:c r="M9" s="25" t="n">
        <x:v>14.87</x:v>
      </x:c>
      <x:c r="N9" s="25" t="n">
        <x:v>12.54</x:v>
      </x:c>
      <x:c r="O9" s="25" t="n">
        <x:v>12.81</x:v>
      </x:c>
      <x:c r="P9" s="26" t="n">
        <x:f>IF(COUNT(F9,H9)&lt;2,"",F9*H9)</x:f>
        <x:v>1005054.7</x:v>
      </x:c>
      <x:c r="Q9" s="26" t="n">
        <x:f>IF(COUNT(J9,L9,N9)&lt;3,"",SUM(J9,L9,N9))</x:f>
        <x:v>66.28999999999999</x:v>
      </x:c>
      <x:c r="R9" s="26" t="n">
        <x:f>IF(COUNT(F9,J9)&lt;2,"",F9*J9)</x:f>
        <x:v>426522.13</x:v>
      </x:c>
      <x:c r="S9" s="26" t="n">
        <x:f>IF(COUNT(F9,L9)&lt;2,"",F9*L9)</x:f>
        <x:v>158761.62</x:v>
      </x:c>
      <x:c r="T9" s="21" t="n">
        <x:f>IF(COUNT(F9,N9)&lt;2,"",F9*N9)</x:f>
        <x:v>136548.06</x:v>
      </x:c>
      <x:c r="U9" s="26" t="n">
        <x:f>IF(COUNT(R9:T9)&lt;3,"",SUM(R9:T9))</x:f>
        <x:v>721831.81</x:v>
      </x:c>
      <x:c r="V9" s="26" t="n">
        <x:f>IF(COUNT(P9,U9)&lt;2,"",P9-U9)</x:f>
        <x:v>283222.8899999999</x:v>
      </x:c>
      <x:c r="W9" s="28" t="n">
        <x:f>IF(OR(P9="",P9=0,V9=""),"",V9/P9)</x:f>
        <x:v>0.28179848320693385</x:v>
      </x:c>
      <x:c r="X9" s="26" t="n">
        <x:f>IF(COUNT(G9,I9)&lt;2,"",G9*I9)</x:f>
        <x:v>995890.82</x:v>
      </x:c>
      <x:c r="Y9" s="26" t="n">
        <x:f>IF(COUNT(K9,M9,O9)&lt;3,"",SUM(K9,M9,O9))</x:f>
        <x:v>67.92999999999999</x:v>
      </x:c>
      <x:c r="Z9" s="26" t="n">
        <x:f>IF(COUNT(G9,K9)&lt;2,"",G9*K9)</x:f>
        <x:v>432365.5</x:v>
      </x:c>
      <x:c r="AA9" s="26" t="n">
        <x:f>IF(COUNT(G9,M9)&lt;2,"",G9*M9)</x:f>
        <x:v>159733.53999999998</x:v>
      </x:c>
      <x:c r="AB9" s="21" t="n">
        <x:f>IF(COUNT(G9,O9)&lt;2,"",G9*O9)</x:f>
        <x:v>137605.02000000002</x:v>
      </x:c>
      <x:c r="AC9" s="26" t="n">
        <x:f>IF(COUNT(Z9:AB9)&lt;3,"",SUM(Z9:AB9))</x:f>
        <x:v>729704.06</x:v>
      </x:c>
      <x:c r="AD9" s="26" t="n">
        <x:f>IF(COUNT(X9,AC9)&lt;2,"",X9-AC9)</x:f>
        <x:v>266186.7599999999</x:v>
      </x:c>
      <x:c r="AE9" s="28" t="n">
        <x:f>IF(OR(X9="",X9=0,AD9=""),"",AD9/X9)</x:f>
        <x:v>0.2672850825153704</x:v>
      </x:c>
      <x:c r="AF9" s="29" t="n">
        <x:f>IF(COUNT(F9,G9)&lt;2,"",G9-F9)</x:f>
        <x:v>-147</x:v>
      </x:c>
      <x:c r="AG9" s="30" t="n">
        <x:f>IF(OR(F9="",F9=0,AF9=""),"",AF9/ABS(F9))</x:f>
        <x:v>-0.013499862246303609</x:v>
      </x:c>
      <x:c r="AH9" s="26" t="n">
        <x:f>IF(COUNT(P9,X9)&lt;2,"",X9-P9)</x:f>
        <x:v>-9163.880000000005</x:v>
      </x:c>
      <x:c r="AI9" s="30" t="n">
        <x:f>IF(OR(P9="",P9=0,AH9=""),"",AH9/ABS(P9))</x:f>
        <x:v>-0.009117792295285029</x:v>
      </x:c>
      <x:c r="AJ9" s="26" t="n">
        <x:f>IF(COUNT(U9,AC9)&lt;2,"",AC9-U9)</x:f>
        <x:v>7872.25</x:v>
      </x:c>
      <x:c r="AK9" s="30" t="n">
        <x:f>IF(OR(U9="",U9=0,AJ9=""),"",AJ9/ABS(U9))</x:f>
        <x:v>0.010905933890610888</x:v>
      </x:c>
      <x:c r="AL9" s="26" t="n">
        <x:f>IF(COUNT(V9,AD9)&lt;2,"",AD9-V9)</x:f>
        <x:v>-17036.130000000005</x:v>
      </x:c>
      <x:c r="AM9" s="30" t="n">
        <x:f>IF(OR(V9="",V9=0,AL9=""),"",AL9/ABS(V9))</x:f>
        <x:v>-0.06015096449301824</x:v>
      </x:c>
      <x:c r="AN9" s="26" t="n">
        <x:f>IF(OR(W9="",AE9=""),"",(AE9-W9)*100)</x:f>
        <x:v>-1.4513400691563427</x:v>
      </x:c>
      <x:c r="AO9" s="26" t="n">
        <x:f>IF(COUNT(F9,G9,H9)&lt;3,"",(G9-F9)*H9)</x:f>
        <x:v>-13568.1</x:v>
      </x:c>
      <x:c r="AP9" s="26" t="n">
        <x:f>IF(COUNT(G9,H9,I9)&lt;3,"",G9*(I9-H9))</x:f>
        <x:v>4404.219999999963</x:v>
      </x:c>
    </x:row>
    <x:row r="10">
      <x:c r="A10" s="23" t="str">
        <x:v>2025-05</x:v>
      </x:c>
      <x:c r="B10" s="21" t="str">
        <x:v>Electric Motor Components</x:v>
      </x:c>
      <x:c r="C10" s="21" t="str">
        <x:v>EUR</x:v>
      </x:c>
      <x:c r="D10" s="21" t="str">
        <x:v>Synthetic Data</x:v>
      </x:c>
      <x:c r="E10" s="21" t="str">
        <x:v>Simulated Company</x:v>
      </x:c>
      <x:c r="F10" s="24" t="n">
        <x:v>11125</x:v>
      </x:c>
      <x:c r="G10" s="24" t="n">
        <x:v>10968</x:v>
      </x:c>
      <x:c r="H10" s="25" t="n">
        <x:v>92.4</x:v>
      </x:c>
      <x:c r="I10" s="25" t="n">
        <x:v>93.25</x:v>
      </x:c>
      <x:c r="J10" s="25" t="n">
        <x:v>39.23</x:v>
      </x:c>
      <x:c r="K10" s="25" t="n">
        <x:v>40.96</x:v>
      </x:c>
      <x:c r="L10" s="25" t="n">
        <x:v>14.61</x:v>
      </x:c>
      <x:c r="M10" s="25" t="n">
        <x:v>14.92</x:v>
      </x:c>
      <x:c r="N10" s="25" t="n">
        <x:v>12.55</x:v>
      </x:c>
      <x:c r="O10" s="25" t="n">
        <x:v>12.79</x:v>
      </x:c>
      <x:c r="P10" s="26" t="n">
        <x:f>IF(COUNT(F10,H10)&lt;2,"",F10*H10)</x:f>
        <x:v>1027950.0000000001</x:v>
      </x:c>
      <x:c r="Q10" s="26" t="n">
        <x:f>IF(COUNT(J10,L10,N10)&lt;3,"",SUM(J10,L10,N10))</x:f>
        <x:v>66.39</x:v>
      </x:c>
      <x:c r="R10" s="26" t="n">
        <x:f>IF(COUNT(F10,J10)&lt;2,"",F10*J10)</x:f>
        <x:v>436433.74999999994</x:v>
      </x:c>
      <x:c r="S10" s="26" t="n">
        <x:f>IF(COUNT(F10,L10)&lt;2,"",F10*L10)</x:f>
        <x:v>162536.25</x:v>
      </x:c>
      <x:c r="T10" s="21" t="n">
        <x:f>IF(COUNT(F10,N10)&lt;2,"",F10*N10)</x:f>
        <x:v>139618.75</x:v>
      </x:c>
      <x:c r="U10" s="26" t="n">
        <x:f>IF(COUNT(R10:T10)&lt;3,"",SUM(R10:T10))</x:f>
        <x:v>738588.75</x:v>
      </x:c>
      <x:c r="V10" s="26" t="n">
        <x:f>IF(COUNT(P10,U10)&lt;2,"",P10-U10)</x:f>
        <x:v>289361.2500000001</x:v>
      </x:c>
      <x:c r="W10" s="28" t="n">
        <x:f>IF(OR(P10="",P10=0,V10=""),"",V10/P10)</x:f>
        <x:v>0.2814935064935066</x:v>
      </x:c>
      <x:c r="X10" s="26" t="n">
        <x:f>IF(COUNT(G10,I10)&lt;2,"",G10*I10)</x:f>
        <x:v>1022766</x:v>
      </x:c>
      <x:c r="Y10" s="26" t="n">
        <x:f>IF(COUNT(K10,M10,O10)&lt;3,"",SUM(K10,M10,O10))</x:f>
        <x:v>68.67</x:v>
      </x:c>
      <x:c r="Z10" s="26" t="n">
        <x:f>IF(COUNT(G10,K10)&lt;2,"",G10*K10)</x:f>
        <x:v>449249.28</x:v>
      </x:c>
      <x:c r="AA10" s="26" t="n">
        <x:f>IF(COUNT(G10,M10)&lt;2,"",G10*M10)</x:f>
        <x:v>163642.56</x:v>
      </x:c>
      <x:c r="AB10" s="21" t="n">
        <x:f>IF(COUNT(G10,O10)&lt;2,"",G10*O10)</x:f>
        <x:v>140280.72</x:v>
      </x:c>
      <x:c r="AC10" s="26" t="n">
        <x:f>IF(COUNT(Z10:AB10)&lt;3,"",SUM(Z10:AB10))</x:f>
        <x:v>753172.56</x:v>
      </x:c>
      <x:c r="AD10" s="26" t="n">
        <x:f>IF(COUNT(X10,AC10)&lt;2,"",X10-AC10)</x:f>
        <x:v>269593.43999999994</x:v>
      </x:c>
      <x:c r="AE10" s="28" t="n">
        <x:f>IF(OR(X10="",X10=0,AD10=""),"",AD10/X10)</x:f>
        <x:v>0.26359249329758705</x:v>
      </x:c>
      <x:c r="AF10" s="29" t="n">
        <x:f>IF(COUNT(F10,G10)&lt;2,"",G10-F10)</x:f>
        <x:v>-157</x:v>
      </x:c>
      <x:c r="AG10" s="30" t="n">
        <x:f>IF(OR(F10="",F10=0,AF10=""),"",AF10/ABS(F10))</x:f>
        <x:v>-0.014112359550561797</x:v>
      </x:c>
      <x:c r="AH10" s="26" t="n">
        <x:f>IF(COUNT(P10,X10)&lt;2,"",X10-P10)</x:f>
        <x:v>-5184.000000000116</x:v>
      </x:c>
      <x:c r="AI10" s="30" t="n">
        <x:f>IF(OR(P10="",P10=0,AH10=""),"",AH10/ABS(P10))</x:f>
        <x:v>-0.005043046840799762</x:v>
      </x:c>
      <x:c r="AJ10" s="26" t="n">
        <x:f>IF(COUNT(U10,AC10)&lt;2,"",AC10-U10)</x:f>
        <x:v>14583.810000000056</x:v>
      </x:c>
      <x:c r="AK10" s="30" t="n">
        <x:f>IF(OR(U10="",U10=0,AJ10=""),"",AJ10/ABS(U10))</x:f>
        <x:v>0.019745507902740267</x:v>
      </x:c>
      <x:c r="AL10" s="26" t="n">
        <x:f>IF(COUNT(V10,AD10)&lt;2,"",AD10-V10)</x:f>
        <x:v>-19767.810000000172</x:v>
      </x:c>
      <x:c r="AM10" s="30" t="n">
        <x:f>IF(OR(V10="",V10=0,AL10=""),"",AL10/ABS(V10))</x:f>
        <x:v>-0.06831533247800169</x:v>
      </x:c>
      <x:c r="AN10" s="26" t="n">
        <x:f>IF(OR(W10="",AE10=""),"",(AE10-W10)*100)</x:f>
        <x:v>-1.7901013195919524</x:v>
      </x:c>
      <x:c r="AO10" s="26" t="n">
        <x:f>IF(COUNT(F10,G10,H10)&lt;3,"",(G10-F10)*H10)</x:f>
        <x:v>-14506.800000000001</x:v>
      </x:c>
      <x:c r="AP10" s="26" t="n">
        <x:f>IF(COUNT(G10,H10,I10)&lt;3,"",G10*(I10-H10))</x:f>
        <x:v>9322.799999999937</x:v>
      </x:c>
    </x:row>
    <x:row r="11">
      <x:c r="A11" s="23" t="str">
        <x:v>2025-06</x:v>
      </x:c>
      <x:c r="B11" s="21" t="str">
        <x:v>Electric Motor Components</x:v>
      </x:c>
      <x:c r="C11" s="21" t="str">
        <x:v>EUR</x:v>
      </x:c>
      <x:c r="D11" s="21" t="str">
        <x:v>Synthetic Data</x:v>
      </x:c>
      <x:c r="E11" s="21" t="str">
        <x:v>Simulated Company</x:v>
      </x:c>
      <x:c r="F11" s="24" t="n">
        <x:v>11256</x:v>
      </x:c>
      <x:c r="G11" s="24" t="n">
        <x:v>10952</x:v>
      </x:c>
      <x:c r="H11" s="25" t="n">
        <x:v>92.5</x:v>
      </x:c>
      <x:c r="I11" s="25" t="n">
        <x:v>93.59</x:v>
      </x:c>
      <x:c r="J11" s="25" t="n">
        <x:v>39.28</x:v>
      </x:c>
      <x:c r="K11" s="25" t="n">
        <x:v>41.12</x:v>
      </x:c>
      <x:c r="L11" s="25" t="n">
        <x:v>14.63</x:v>
      </x:c>
      <x:c r="M11" s="25" t="n">
        <x:v>15.01</x:v>
      </x:c>
      <x:c r="N11" s="25" t="n">
        <x:v>12.57</x:v>
      </x:c>
      <x:c r="O11" s="25" t="n">
        <x:v>12.89</x:v>
      </x:c>
      <x:c r="P11" s="26" t="n">
        <x:f>IF(COUNT(F11,H11)&lt;2,"",F11*H11)</x:f>
        <x:v>1041180</x:v>
      </x:c>
      <x:c r="Q11" s="26" t="n">
        <x:f>IF(COUNT(J11,L11,N11)&lt;3,"",SUM(J11,L11,N11))</x:f>
        <x:v>66.48</x:v>
      </x:c>
      <x:c r="R11" s="26" t="n">
        <x:f>IF(COUNT(F11,J11)&lt;2,"",F11*J11)</x:f>
        <x:v>442135.68</x:v>
      </x:c>
      <x:c r="S11" s="26" t="n">
        <x:f>IF(COUNT(F11,L11)&lt;2,"",F11*L11)</x:f>
        <x:v>164675.28</x:v>
      </x:c>
      <x:c r="T11" s="21" t="n">
        <x:f>IF(COUNT(F11,N11)&lt;2,"",F11*N11)</x:f>
        <x:v>141487.92</x:v>
      </x:c>
      <x:c r="U11" s="26" t="n">
        <x:f>IF(COUNT(R11:T11)&lt;3,"",SUM(R11:T11))</x:f>
        <x:v>748298.88</x:v>
      </x:c>
      <x:c r="V11" s="26" t="n">
        <x:f>IF(COUNT(P11,U11)&lt;2,"",P11-U11)</x:f>
        <x:v>292881.12</x:v>
      </x:c>
      <x:c r="W11" s="28" t="n">
        <x:f>IF(OR(P11="",P11=0,V11=""),"",V11/P11)</x:f>
        <x:v>0.2812972972972973</x:v>
      </x:c>
      <x:c r="X11" s="26" t="n">
        <x:f>IF(COUNT(G11,I11)&lt;2,"",G11*I11)</x:f>
        <x:v>1024997.68</x:v>
      </x:c>
      <x:c r="Y11" s="26" t="n">
        <x:f>IF(COUNT(K11,M11,O11)&lt;3,"",SUM(K11,M11,O11))</x:f>
        <x:v>69.02</x:v>
      </x:c>
      <x:c r="Z11" s="26" t="n">
        <x:f>IF(COUNT(G11,K11)&lt;2,"",G11*K11)</x:f>
        <x:v>450346.24</x:v>
      </x:c>
      <x:c r="AA11" s="26" t="n">
        <x:f>IF(COUNT(G11,M11)&lt;2,"",G11*M11)</x:f>
        <x:v>164389.52</x:v>
      </x:c>
      <x:c r="AB11" s="21" t="n">
        <x:f>IF(COUNT(G11,O11)&lt;2,"",G11*O11)</x:f>
        <x:v>141171.28</x:v>
      </x:c>
      <x:c r="AC11" s="26" t="n">
        <x:f>IF(COUNT(Z11:AB11)&lt;3,"",SUM(Z11:AB11))</x:f>
        <x:v>755907.04</x:v>
      </x:c>
      <x:c r="AD11" s="26" t="n">
        <x:f>IF(COUNT(X11,AC11)&lt;2,"",X11-AC11)</x:f>
        <x:v>269090.64</x:v>
      </x:c>
      <x:c r="AE11" s="28" t="n">
        <x:f>IF(OR(X11="",X11=0,AD11=""),"",AD11/X11)</x:f>
        <x:v>0.262528047868362</x:v>
      </x:c>
      <x:c r="AF11" s="29" t="n">
        <x:f>IF(COUNT(F11,G11)&lt;2,"",G11-F11)</x:f>
        <x:v>-304</x:v>
      </x:c>
      <x:c r="AG11" s="30" t="n">
        <x:f>IF(OR(F11="",F11=0,AF11=""),"",AF11/ABS(F11))</x:f>
        <x:v>-0.02700781805259417</x:v>
      </x:c>
      <x:c r="AH11" s="26" t="n">
        <x:f>IF(COUNT(P11,X11)&lt;2,"",X11-P11)</x:f>
        <x:v>-16182.319999999949</x:v>
      </x:c>
      <x:c r="AI11" s="30" t="n">
        <x:f>IF(OR(P11="",P11=0,AH11=""),"",AH11/ABS(P11))</x:f>
        <x:v>-0.01554228855721388</x:v>
      </x:c>
      <x:c r="AJ11" s="26" t="n">
        <x:f>IF(COUNT(U11,AC11)&lt;2,"",AC11-U11)</x:f>
        <x:v>7608.160000000033</x:v>
      </x:c>
      <x:c r="AK11" s="30" t="n">
        <x:f>IF(OR(U11="",U11=0,AJ11=""),"",AJ11/ABS(U11))</x:f>
        <x:v>0.010167274338296527</x:v>
      </x:c>
      <x:c r="AL11" s="26" t="n">
        <x:f>IF(COUNT(V11,AD11)&lt;2,"",AD11-V11)</x:f>
        <x:v>-23790.47999999998</x:v>
      </x:c>
      <x:c r="AM11" s="30" t="n">
        <x:f>IF(OR(V11="",V11=0,AL11=""),"",AL11/ABS(V11))</x:f>
        <x:v>-0.08122913487902526</x:v>
      </x:c>
      <x:c r="AN11" s="26" t="n">
        <x:f>IF(OR(W11="",AE11=""),"",(AE11-W11)*100)</x:f>
        <x:v>-1.876924942893532</x:v>
      </x:c>
      <x:c r="AO11" s="26" t="n">
        <x:f>IF(COUNT(F11,G11,H11)&lt;3,"",(G11-F11)*H11)</x:f>
        <x:v>-28120</x:v>
      </x:c>
      <x:c r="AP11" s="26" t="n">
        <x:f>IF(COUNT(G11,H11,I11)&lt;3,"",G11*(I11-H11))</x:f>
        <x:v>11937.680000000037</x:v>
      </x:c>
    </x:row>
    <x:row r="12">
      <x:c r="A12" s="23" t="str">
        <x:v>2025-07</x:v>
      </x:c>
      <x:c r="B12" s="21" t="str">
        <x:v>Electric Motor Components</x:v>
      </x:c>
      <x:c r="C12" s="21" t="str">
        <x:v>EUR</x:v>
      </x:c>
      <x:c r="D12" s="21" t="str">
        <x:v>Synthetic Data</x:v>
      </x:c>
      <x:c r="E12" s="21" t="str">
        <x:v>Simulated Company</x:v>
      </x:c>
      <x:c r="F12" s="24" t="n">
        <x:v>10750</x:v>
      </x:c>
      <x:c r="G12" s="24" t="n">
        <x:v>10815</x:v>
      </x:c>
      <x:c r="H12" s="25" t="n">
        <x:v>92.6</x:v>
      </x:c>
      <x:c r="I12" s="25" t="n">
        <x:v>93.42</x:v>
      </x:c>
      <x:c r="J12" s="25" t="n">
        <x:v>39.34</x:v>
      </x:c>
      <x:c r="K12" s="25" t="n">
        <x:v>41.21</x:v>
      </x:c>
      <x:c r="L12" s="25" t="n">
        <x:v>14.66</x:v>
      </x:c>
      <x:c r="M12" s="25" t="n">
        <x:v>14.99</x:v>
      </x:c>
      <x:c r="N12" s="25" t="n">
        <x:v>12.58</x:v>
      </x:c>
      <x:c r="O12" s="25" t="n">
        <x:v>12.71</x:v>
      </x:c>
      <x:c r="P12" s="26" t="n">
        <x:f>IF(COUNT(F12,H12)&lt;2,"",F12*H12)</x:f>
        <x:v>995449.9999999999</x:v>
      </x:c>
      <x:c r="Q12" s="26" t="n">
        <x:f>IF(COUNT(J12,L12,N12)&lt;3,"",SUM(J12,L12,N12))</x:f>
        <x:v>66.58</x:v>
      </x:c>
      <x:c r="R12" s="26" t="n">
        <x:f>IF(COUNT(F12,J12)&lt;2,"",F12*J12)</x:f>
        <x:v>422905.00000000006</x:v>
      </x:c>
      <x:c r="S12" s="26" t="n">
        <x:f>IF(COUNT(F12,L12)&lt;2,"",F12*L12)</x:f>
        <x:v>157595</x:v>
      </x:c>
      <x:c r="T12" s="21" t="n">
        <x:f>IF(COUNT(F12,N12)&lt;2,"",F12*N12)</x:f>
        <x:v>135235</x:v>
      </x:c>
      <x:c r="U12" s="26" t="n">
        <x:f>IF(COUNT(R12:T12)&lt;3,"",SUM(R12:T12))</x:f>
        <x:v>715735</x:v>
      </x:c>
      <x:c r="V12" s="26" t="n">
        <x:f>IF(COUNT(P12,U12)&lt;2,"",P12-U12)</x:f>
        <x:v>279714.9999999999</x:v>
      </x:c>
      <x:c r="W12" s="28" t="n">
        <x:f>IF(OR(P12="",P12=0,V12=""),"",V12/P12)</x:f>
        <x:v>0.28099352051835846</x:v>
      </x:c>
      <x:c r="X12" s="26" t="n">
        <x:f>IF(COUNT(G12,I12)&lt;2,"",G12*I12)</x:f>
        <x:v>1010337.3</x:v>
      </x:c>
      <x:c r="Y12" s="26" t="n">
        <x:f>IF(COUNT(K12,M12,O12)&lt;3,"",SUM(K12,M12,O12))</x:f>
        <x:v>68.91</x:v>
      </x:c>
      <x:c r="Z12" s="26" t="n">
        <x:f>IF(COUNT(G12,K12)&lt;2,"",G12*K12)</x:f>
        <x:v>445686.15</x:v>
      </x:c>
      <x:c r="AA12" s="26" t="n">
        <x:f>IF(COUNT(G12,M12)&lt;2,"",G12*M12)</x:f>
        <x:v>162116.85</x:v>
      </x:c>
      <x:c r="AB12" s="21" t="n">
        <x:f>IF(COUNT(G12,O12)&lt;2,"",G12*O12)</x:f>
        <x:v>137458.65000000002</x:v>
      </x:c>
      <x:c r="AC12" s="26" t="n">
        <x:f>IF(COUNT(Z12:AB12)&lt;3,"",SUM(Z12:AB12))</x:f>
        <x:v>745261.65</x:v>
      </x:c>
      <x:c r="AD12" s="26" t="n">
        <x:f>IF(COUNT(X12,AC12)&lt;2,"",X12-AC12)</x:f>
        <x:v>265075.65</x:v>
      </x:c>
      <x:c r="AE12" s="28" t="n">
        <x:f>IF(OR(X12="",X12=0,AD12=""),"",AD12/X12)</x:f>
        <x:v>0.26236351958895315</x:v>
      </x:c>
      <x:c r="AF12" s="29" t="n">
        <x:f>IF(COUNT(F12,G12)&lt;2,"",G12-F12)</x:f>
        <x:v>65</x:v>
      </x:c>
      <x:c r="AG12" s="30" t="n">
        <x:f>IF(OR(F12="",F12=0,AF12=""),"",AF12/ABS(F12))</x:f>
        <x:v>0.0060465116279069765</x:v>
      </x:c>
      <x:c r="AH12" s="26" t="n">
        <x:f>IF(COUNT(P12,X12)&lt;2,"",X12-P12)</x:f>
        <x:v>14887.300000000163</x:v>
      </x:c>
      <x:c r="AI12" s="30" t="n">
        <x:f>IF(OR(P12="",P12=0,AH12=""),"",AH12/ABS(P12))</x:f>
        <x:v>0.014955346828067874</x:v>
      </x:c>
      <x:c r="AJ12" s="26" t="n">
        <x:f>IF(COUNT(U12,AC12)&lt;2,"",AC12-U12)</x:f>
        <x:v>29526.650000000023</x:v>
      </x:c>
      <x:c r="AK12" s="30" t="n">
        <x:f>IF(OR(U12="",U12=0,AJ12=""),"",AJ12/ABS(U12))</x:f>
        <x:v>0.04125360643254839</x:v>
      </x:c>
      <x:c r="AL12" s="26" t="n">
        <x:f>IF(COUNT(V12,AD12)&lt;2,"",AD12-V12)</x:f>
        <x:v>-14639.34999999986</x:v>
      </x:c>
      <x:c r="AM12" s="30" t="n">
        <x:f>IF(OR(V12="",V12=0,AL12=""),"",AL12/ABS(V12))</x:f>
        <x:v>-0.0523366641045345</x:v>
      </x:c>
      <x:c r="AN12" s="26" t="n">
        <x:f>IF(OR(W12="",AE12=""),"",(AE12-W12)*100)</x:f>
        <x:v>-1.863000092940531</x:v>
      </x:c>
      <x:c r="AO12" s="26" t="n">
        <x:f>IF(COUNT(F12,G12,H12)&lt;3,"",(G12-F12)*H12)</x:f>
        <x:v>6019</x:v>
      </x:c>
      <x:c r="AP12" s="26" t="n">
        <x:f>IF(COUNT(G12,H12,I12)&lt;3,"",G12*(I12-H12))</x:f>
        <x:v>8868.30000000008</x:v>
      </x:c>
    </x:row>
    <x:row r="13">
      <x:c r="A13" s="23" t="str">
        <x:v>2025-08</x:v>
      </x:c>
      <x:c r="B13" s="21" t="str">
        <x:v>Electric Motor Components</x:v>
      </x:c>
      <x:c r="C13" s="21" t="str">
        <x:v>EUR</x:v>
      </x:c>
      <x:c r="D13" s="21" t="str">
        <x:v>Synthetic Data</x:v>
      </x:c>
      <x:c r="E13" s="21" t="str">
        <x:v>Simulated Company</x:v>
      </x:c>
      <x:c r="F13" s="24" t="n">
        <x:v>9387</x:v>
      </x:c>
      <x:c r="G13" s="24" t="n">
        <x:v>9343</x:v>
      </x:c>
      <x:c r="H13" s="25" t="n">
        <x:v>92.7</x:v>
      </x:c>
      <x:c r="I13" s="25" t="n">
        <x:v>93.29</x:v>
      </x:c>
      <x:c r="J13" s="25" t="n">
        <x:v>39.4</x:v>
      </x:c>
      <x:c r="K13" s="25" t="n">
        <x:v>40.62</x:v>
      </x:c>
      <x:c r="L13" s="25" t="n">
        <x:v>14.68</x:v>
      </x:c>
      <x:c r="M13" s="25" t="n">
        <x:v>15.05</x:v>
      </x:c>
      <x:c r="N13" s="25" t="n">
        <x:v>12.6</x:v>
      </x:c>
      <x:c r="O13" s="25" t="n">
        <x:v>12.82</x:v>
      </x:c>
      <x:c r="P13" s="26" t="n">
        <x:f>IF(COUNT(F13,H13)&lt;2,"",F13*H13)</x:f>
        <x:v>870174.9</x:v>
      </x:c>
      <x:c r="Q13" s="26" t="n">
        <x:f>IF(COUNT(J13,L13,N13)&lt;3,"",SUM(J13,L13,N13))</x:f>
        <x:v>66.67999999999999</x:v>
      </x:c>
      <x:c r="R13" s="26" t="n">
        <x:f>IF(COUNT(F13,J13)&lt;2,"",F13*J13)</x:f>
        <x:v>369847.8</x:v>
      </x:c>
      <x:c r="S13" s="26" t="n">
        <x:f>IF(COUNT(F13,L13)&lt;2,"",F13*L13)</x:f>
        <x:v>137801.16</x:v>
      </x:c>
      <x:c r="T13" s="21" t="n">
        <x:f>IF(COUNT(F13,N13)&lt;2,"",F13*N13)</x:f>
        <x:v>118276.2</x:v>
      </x:c>
      <x:c r="U13" s="26" t="n">
        <x:f>IF(COUNT(R13:T13)&lt;3,"",SUM(R13:T13))</x:f>
        <x:v>625925.1599999999</x:v>
      </x:c>
      <x:c r="V13" s="26" t="n">
        <x:f>IF(COUNT(P13,U13)&lt;2,"",P13-U13)</x:f>
        <x:v>244249.7400000001</x:v>
      </x:c>
      <x:c r="W13" s="28" t="n">
        <x:f>IF(OR(P13="",P13=0,V13=""),"",V13/P13)</x:f>
        <x:v>0.28069039913700117</x:v>
      </x:c>
      <x:c r="X13" s="26" t="n">
        <x:f>IF(COUNT(G13,I13)&lt;2,"",G13*I13)</x:f>
        <x:v>871608.4700000001</x:v>
      </x:c>
      <x:c r="Y13" s="26" t="n">
        <x:f>IF(COUNT(K13,M13,O13)&lt;3,"",SUM(K13,M13,O13))</x:f>
        <x:v>68.49000000000001</x:v>
      </x:c>
      <x:c r="Z13" s="26" t="n">
        <x:f>IF(COUNT(G13,K13)&lt;2,"",G13*K13)</x:f>
        <x:v>379512.66</x:v>
      </x:c>
      <x:c r="AA13" s="26" t="n">
        <x:f>IF(COUNT(G13,M13)&lt;2,"",G13*M13)</x:f>
        <x:v>140612.15</x:v>
      </x:c>
      <x:c r="AB13" s="21" t="n">
        <x:f>IF(COUNT(G13,O13)&lt;2,"",G13*O13)</x:f>
        <x:v>119777.26000000001</x:v>
      </x:c>
      <x:c r="AC13" s="26" t="n">
        <x:f>IF(COUNT(Z13:AB13)&lt;3,"",SUM(Z13:AB13))</x:f>
        <x:v>639902.07</x:v>
      </x:c>
      <x:c r="AD13" s="26" t="n">
        <x:f>IF(COUNT(X13,AC13)&lt;2,"",X13-AC13)</x:f>
        <x:v>231706.40000000014</x:v>
      </x:c>
      <x:c r="AE13" s="28" t="n">
        <x:f>IF(OR(X13="",X13=0,AD13=""),"",AD13/X13)</x:f>
        <x:v>0.265837710365527</x:v>
      </x:c>
      <x:c r="AF13" s="29" t="n">
        <x:f>IF(COUNT(F13,G13)&lt;2,"",G13-F13)</x:f>
        <x:v>-44</x:v>
      </x:c>
      <x:c r="AG13" s="30" t="n">
        <x:f>IF(OR(F13="",F13=0,AF13=""),"",AF13/ABS(F13))</x:f>
        <x:v>-0.004687333546393949</x:v>
      </x:c>
      <x:c r="AH13" s="26" t="n">
        <x:f>IF(COUNT(P13,X13)&lt;2,"",X13-P13)</x:f>
        <x:v>1433.5700000000652</x:v>
      </x:c>
      <x:c r="AI13" s="30" t="n">
        <x:f>IF(OR(P13="",P13=0,AH13=""),"",AH13/ABS(P13))</x:f>
        <x:v>0.0016474504148534567</x:v>
      </x:c>
      <x:c r="AJ13" s="26" t="n">
        <x:f>IF(COUNT(U13,AC13)&lt;2,"",AC13-U13)</x:f>
        <x:v>13976.910000000033</x:v>
      </x:c>
      <x:c r="AK13" s="30" t="n">
        <x:f>IF(OR(U13="",U13=0,AJ13=""),"",AJ13/ABS(U13))</x:f>
        <x:v>0.022330001880736083</x:v>
      </x:c>
      <x:c r="AL13" s="26" t="n">
        <x:f>IF(COUNT(V13,AD13)&lt;2,"",AD13-V13)</x:f>
        <x:v>-12543.339999999967</x:v>
      </x:c>
      <x:c r="AM13" s="30" t="n">
        <x:f>IF(OR(V13="",V13=0,AL13=""),"",AL13/ABS(V13))</x:f>
        <x:v>-0.05135456848388032</x:v>
      </x:c>
      <x:c r="AN13" s="26" t="n">
        <x:f>IF(OR(W13="",AE13=""),"",(AE13-W13)*100)</x:f>
        <x:v>-1.4852688771474165</x:v>
      </x:c>
      <x:c r="AO13" s="26" t="n">
        <x:f>IF(COUNT(F13,G13,H13)&lt;3,"",(G13-F13)*H13)</x:f>
        <x:v>-4078.8</x:v>
      </x:c>
      <x:c r="AP13" s="26" t="n">
        <x:f>IF(COUNT(G13,H13,I13)&lt;3,"",G13*(I13-H13))</x:f>
        <x:v>5512.370000000032</x:v>
      </x:c>
    </x:row>
    <x:row r="14">
      <x:c r="A14" s="23" t="str">
        <x:v>2025-09</x:v>
      </x:c>
      <x:c r="B14" s="21" t="str">
        <x:v>Electric Motor Components</x:v>
      </x:c>
      <x:c r="C14" s="21" t="str">
        <x:v>EUR</x:v>
      </x:c>
      <x:c r="D14" s="21" t="str">
        <x:v>Synthetic Data</x:v>
      </x:c>
      <x:c r="E14" s="21" t="str">
        <x:v>Simulated Company</x:v>
      </x:c>
      <x:c r="F14" s="24" t="n">
        <x:v>10905</x:v>
      </x:c>
      <x:c r="G14" s="24" t="n">
        <x:v>10749</x:v>
      </x:c>
      <x:c r="H14" s="25" t="n">
        <x:v>92.8</x:v>
      </x:c>
      <x:c r="I14" s="25" t="n">
        <x:v>93.38</x:v>
      </x:c>
      <x:c r="J14" s="25" t="n">
        <x:v>39.45</x:v>
      </x:c>
      <x:c r="K14" s="25" t="n">
        <x:v>40.59</x:v>
      </x:c>
      <x:c r="L14" s="25" t="n">
        <x:v>14.71</x:v>
      </x:c>
      <x:c r="M14" s="25" t="n">
        <x:v>15.04</x:v>
      </x:c>
      <x:c r="N14" s="25" t="n">
        <x:v>12.61</x:v>
      </x:c>
      <x:c r="O14" s="25" t="n">
        <x:v>12.86</x:v>
      </x:c>
      <x:c r="P14" s="26" t="n">
        <x:f>IF(COUNT(F14,H14)&lt;2,"",F14*H14)</x:f>
        <x:v>1011984</x:v>
      </x:c>
      <x:c r="Q14" s="26" t="n">
        <x:f>IF(COUNT(J14,L14,N14)&lt;3,"",SUM(J14,L14,N14))</x:f>
        <x:v>66.77000000000001</x:v>
      </x:c>
      <x:c r="R14" s="26" t="n">
        <x:f>IF(COUNT(F14,J14)&lt;2,"",F14*J14)</x:f>
        <x:v>430202.25000000006</x:v>
      </x:c>
      <x:c r="S14" s="26" t="n">
        <x:f>IF(COUNT(F14,L14)&lt;2,"",F14*L14)</x:f>
        <x:v>160412.55000000002</x:v>
      </x:c>
      <x:c r="T14" s="21" t="n">
        <x:f>IF(COUNT(F14,N14)&lt;2,"",F14*N14)</x:f>
        <x:v>137512.05</x:v>
      </x:c>
      <x:c r="U14" s="26" t="n">
        <x:f>IF(COUNT(R14:T14)&lt;3,"",SUM(R14:T14))</x:f>
        <x:v>728126.8500000001</x:v>
      </x:c>
      <x:c r="V14" s="26" t="n">
        <x:f>IF(COUNT(P14,U14)&lt;2,"",P14-U14)</x:f>
        <x:v>283857.1499999999</x:v>
      </x:c>
      <x:c r="W14" s="28" t="n">
        <x:f>IF(OR(P14="",P14=0,V14=""),"",V14/P14)</x:f>
        <x:v>0.2804956896551723</x:v>
      </x:c>
      <x:c r="X14" s="26" t="n">
        <x:f>IF(COUNT(G14,I14)&lt;2,"",G14*I14)</x:f>
        <x:v>1003741.62</x:v>
      </x:c>
      <x:c r="Y14" s="26" t="n">
        <x:f>IF(COUNT(K14,M14,O14)&lt;3,"",SUM(K14,M14,O14))</x:f>
        <x:v>68.49000000000001</x:v>
      </x:c>
      <x:c r="Z14" s="26" t="n">
        <x:f>IF(COUNT(G14,K14)&lt;2,"",G14*K14)</x:f>
        <x:v>436301.91000000003</x:v>
      </x:c>
      <x:c r="AA14" s="26" t="n">
        <x:f>IF(COUNT(G14,M14)&lt;2,"",G14*M14)</x:f>
        <x:v>161664.96</x:v>
      </x:c>
      <x:c r="AB14" s="21" t="n">
        <x:f>IF(COUNT(G14,O14)&lt;2,"",G14*O14)</x:f>
        <x:v>138232.13999999998</x:v>
      </x:c>
      <x:c r="AC14" s="26" t="n">
        <x:f>IF(COUNT(Z14:AB14)&lt;3,"",SUM(Z14:AB14))</x:f>
        <x:v>736199.01</x:v>
      </x:c>
      <x:c r="AD14" s="26" t="n">
        <x:f>IF(COUNT(X14,AC14)&lt;2,"",X14-AC14)</x:f>
        <x:v>267542.61</x:v>
      </x:c>
      <x:c r="AE14" s="28" t="n">
        <x:f>IF(OR(X14="",X14=0,AD14=""),"",AD14/X14)</x:f>
        <x:v>0.2665452987791818</x:v>
      </x:c>
      <x:c r="AF14" s="29" t="n">
        <x:f>IF(COUNT(F14,G14)&lt;2,"",G14-F14)</x:f>
        <x:v>-156</x:v>
      </x:c>
      <x:c r="AG14" s="30" t="n">
        <x:f>IF(OR(F14="",F14=0,AF14=""),"",AF14/ABS(F14))</x:f>
        <x:v>-0.014305364511691884</x:v>
      </x:c>
      <x:c r="AH14" s="26" t="n">
        <x:f>IF(COUNT(P14,X14)&lt;2,"",X14-P14)</x:f>
        <x:v>-8242.380000000005</x:v>
      </x:c>
      <x:c r="AI14" s="30" t="n">
        <x:f>IF(OR(P14="",P14=0,AH14=""),"",AH14/ABS(P14))</x:f>
        <x:v>-0.008144773039889964</x:v>
      </x:c>
      <x:c r="AJ14" s="26" t="n">
        <x:f>IF(COUNT(U14,AC14)&lt;2,"",AC14-U14)</x:f>
        <x:v>8072.159999999916</x:v>
      </x:c>
      <x:c r="AK14" s="30" t="n">
        <x:f>IF(OR(U14="",U14=0,AJ14=""),"",AJ14/ABS(U14))</x:f>
        <x:v>0.011086200158667292</x:v>
      </x:c>
      <x:c r="AL14" s="26" t="n">
        <x:f>IF(COUNT(V14,AD14)&lt;2,"",AD14-V14)</x:f>
        <x:v>-16314.53999999992</x:v>
      </x:c>
      <x:c r="AM14" s="30" t="n">
        <x:f>IF(OR(V14="",V14=0,AL14=""),"",AL14/ABS(V14))</x:f>
        <x:v>-0.057474472635267164</x:v>
      </x:c>
      <x:c r="AN14" s="26" t="n">
        <x:f>IF(OR(W14="",AE14=""),"",(AE14-W14)*100)</x:f>
        <x:v>-1.3950390875990482</x:v>
      </x:c>
      <x:c r="AO14" s="26" t="n">
        <x:f>IF(COUNT(F14,G14,H14)&lt;3,"",(G14-F14)*H14)</x:f>
        <x:v>-14476.8</x:v>
      </x:c>
      <x:c r="AP14" s="26" t="n">
        <x:f>IF(COUNT(G14,H14,I14)&lt;3,"",G14*(I14-H14))</x:f>
        <x:v>6234.419999999982</x:v>
      </x:c>
    </x:row>
    <x:row r="15">
      <x:c r="A15" s="23" t="str">
        <x:v>2025-10</x:v>
      </x:c>
      <x:c r="B15" s="21" t="str">
        <x:v>Electric Motor Components</x:v>
      </x:c>
      <x:c r="C15" s="21" t="str">
        <x:v>EUR</x:v>
      </x:c>
      <x:c r="D15" s="21" t="str">
        <x:v>Synthetic Data</x:v>
      </x:c>
      <x:c r="E15" s="21" t="str">
        <x:v>Simulated Company</x:v>
      </x:c>
      <x:c r="F15" s="24" t="n">
        <x:v>11572</x:v>
      </x:c>
      <x:c r="G15" s="24" t="n">
        <x:v>11636</x:v>
      </x:c>
      <x:c r="H15" s="25" t="n">
        <x:v>92.9</x:v>
      </x:c>
      <x:c r="I15" s="25" t="n">
        <x:v>93.17</x:v>
      </x:c>
      <x:c r="J15" s="25" t="n">
        <x:v>39.51</x:v>
      </x:c>
      <x:c r="K15" s="25" t="n">
        <x:v>40.03</x:v>
      </x:c>
      <x:c r="L15" s="25" t="n">
        <x:v>14.74</x:v>
      </x:c>
      <x:c r="M15" s="25" t="n">
        <x:v>15.17</x:v>
      </x:c>
      <x:c r="N15" s="25" t="n">
        <x:v>12.62</x:v>
      </x:c>
      <x:c r="O15" s="25" t="n">
        <x:v>12.75</x:v>
      </x:c>
      <x:c r="P15" s="26" t="n">
        <x:f>IF(COUNT(F15,H15)&lt;2,"",F15*H15)</x:f>
        <x:v>1075038.8</x:v>
      </x:c>
      <x:c r="Q15" s="26" t="n">
        <x:f>IF(COUNT(J15,L15,N15)&lt;3,"",SUM(J15,L15,N15))</x:f>
        <x:v>66.87</x:v>
      </x:c>
      <x:c r="R15" s="26" t="n">
        <x:f>IF(COUNT(F15,J15)&lt;2,"",F15*J15)</x:f>
        <x:v>457209.72</x:v>
      </x:c>
      <x:c r="S15" s="26" t="n">
        <x:f>IF(COUNT(F15,L15)&lt;2,"",F15*L15)</x:f>
        <x:v>170571.28</x:v>
      </x:c>
      <x:c r="T15" s="21" t="n">
        <x:f>IF(COUNT(F15,N15)&lt;2,"",F15*N15)</x:f>
        <x:v>146038.63999999998</x:v>
      </x:c>
      <x:c r="U15" s="26" t="n">
        <x:f>IF(COUNT(R15:T15)&lt;3,"",SUM(R15:T15))</x:f>
        <x:v>773819.64</x:v>
      </x:c>
      <x:c r="V15" s="26" t="n">
        <x:f>IF(COUNT(P15,U15)&lt;2,"",P15-U15)</x:f>
        <x:v>301219.16000000003</x:v>
      </x:c>
      <x:c r="W15" s="28" t="n">
        <x:f>IF(OR(P15="",P15=0,V15=""),"",V15/P15)</x:f>
        <x:v>0.28019375672766417</x:v>
      </x:c>
      <x:c r="X15" s="26" t="n">
        <x:f>IF(COUNT(G15,I15)&lt;2,"",G15*I15)</x:f>
        <x:v>1084126.12</x:v>
      </x:c>
      <x:c r="Y15" s="26" t="n">
        <x:f>IF(COUNT(K15,M15,O15)&lt;3,"",SUM(K15,M15,O15))</x:f>
        <x:v>67.95</x:v>
      </x:c>
      <x:c r="Z15" s="26" t="n">
        <x:f>IF(COUNT(G15,K15)&lt;2,"",G15*K15)</x:f>
        <x:v>465789.08</x:v>
      </x:c>
      <x:c r="AA15" s="26" t="n">
        <x:f>IF(COUNT(G15,M15)&lt;2,"",G15*M15)</x:f>
        <x:v>176518.12</x:v>
      </x:c>
      <x:c r="AB15" s="21" t="n">
        <x:f>IF(COUNT(G15,O15)&lt;2,"",G15*O15)</x:f>
        <x:v>148359</x:v>
      </x:c>
      <x:c r="AC15" s="26" t="n">
        <x:f>IF(COUNT(Z15:AB15)&lt;3,"",SUM(Z15:AB15))</x:f>
        <x:v>790666.2</x:v>
      </x:c>
      <x:c r="AD15" s="26" t="n">
        <x:f>IF(COUNT(X15,AC15)&lt;2,"",X15-AC15)</x:f>
        <x:v>293459.92000000016</x:v>
      </x:c>
      <x:c r="AE15" s="28" t="n">
        <x:f>IF(OR(X15="",X15=0,AD15=""),"",AD15/X15)</x:f>
        <x:v>0.2706879896962543</x:v>
      </x:c>
      <x:c r="AF15" s="29" t="n">
        <x:f>IF(COUNT(F15,G15)&lt;2,"",G15-F15)</x:f>
        <x:v>64</x:v>
      </x:c>
      <x:c r="AG15" s="30" t="n">
        <x:f>IF(OR(F15="",F15=0,AF15=""),"",AF15/ABS(F15))</x:f>
        <x:v>0.00553059108192188</x:v>
      </x:c>
      <x:c r="AH15" s="26" t="n">
        <x:f>IF(COUNT(P15,X15)&lt;2,"",X15-P15)</x:f>
        <x:v>9087.320000000065</x:v>
      </x:c>
      <x:c r="AI15" s="30" t="n">
        <x:f>IF(OR(P15="",P15=0,AH15=""),"",AH15/ABS(P15))</x:f>
        <x:v>0.008453015835335491</x:v>
      </x:c>
      <x:c r="AJ15" s="26" t="n">
        <x:f>IF(COUNT(U15,AC15)&lt;2,"",AC15-U15)</x:f>
        <x:v>16846.55999999994</x:v>
      </x:c>
      <x:c r="AK15" s="30" t="n">
        <x:f>IF(OR(U15="",U15=0,AJ15=""),"",AJ15/ABS(U15))</x:f>
        <x:v>0.02177065446413319</x:v>
      </x:c>
      <x:c r="AL15" s="26" t="n">
        <x:f>IF(COUNT(V15,AD15)&lt;2,"",AD15-V15)</x:f>
        <x:v>-7759.239999999874</x:v>
      </x:c>
      <x:c r="AM15" s="30" t="n">
        <x:f>IF(OR(V15="",V15=0,AL15=""),"",AL15/ABS(V15))</x:f>
        <x:v>-0.02575945036165652</x:v>
      </x:c>
      <x:c r="AN15" s="26" t="n">
        <x:f>IF(OR(W15="",AE15=""),"",(AE15-W15)*100)</x:f>
        <x:v>-0.9505767031409873</x:v>
      </x:c>
      <x:c r="AO15" s="26" t="n">
        <x:f>IF(COUNT(F15,G15,H15)&lt;3,"",(G15-F15)*H15)</x:f>
        <x:v>5945.6</x:v>
      </x:c>
      <x:c r="AP15" s="26" t="n">
        <x:f>IF(COUNT(G15,H15,I15)&lt;3,"",G15*(I15-H15))</x:f>
        <x:v>3141.719999999954</x:v>
      </x:c>
    </x:row>
    <x:row r="16">
      <x:c r="A16" s="23" t="str">
        <x:v>2025-11</x:v>
      </x:c>
      <x:c r="B16" s="21" t="str">
        <x:v>Electric Motor Components</x:v>
      </x:c>
      <x:c r="C16" s="21" t="str">
        <x:v>EUR</x:v>
      </x:c>
      <x:c r="D16" s="21" t="str">
        <x:v>Synthetic Data</x:v>
      </x:c>
      <x:c r="E16" s="21" t="str">
        <x:v>Simulated Company</x:v>
      </x:c>
      <x:c r="F16" s="24" t="n">
        <x:v>11813</x:v>
      </x:c>
      <x:c r="G16" s="24" t="n">
        <x:v>11952</x:v>
      </x:c>
      <x:c r="H16" s="25" t="n">
        <x:v>93</x:v>
      </x:c>
      <x:c r="I16" s="25" t="n">
        <x:v>93.97</x:v>
      </x:c>
      <x:c r="J16" s="25" t="n">
        <x:v>39.57</x:v>
      </x:c>
      <x:c r="K16" s="25" t="n">
        <x:v>39.76</x:v>
      </x:c>
      <x:c r="L16" s="25" t="n">
        <x:v>14.76</x:v>
      </x:c>
      <x:c r="M16" s="25" t="n">
        <x:v>15.1</x:v>
      </x:c>
      <x:c r="N16" s="25" t="n">
        <x:v>12.64</x:v>
      </x:c>
      <x:c r="O16" s="25" t="n">
        <x:v>12.78</x:v>
      </x:c>
      <x:c r="P16" s="26" t="n">
        <x:f>IF(COUNT(F16,H16)&lt;2,"",F16*H16)</x:f>
        <x:v>1098609</x:v>
      </x:c>
      <x:c r="Q16" s="26" t="n">
        <x:f>IF(COUNT(J16,L16,N16)&lt;3,"",SUM(J16,L16,N16))</x:f>
        <x:v>66.97</x:v>
      </x:c>
      <x:c r="R16" s="26" t="n">
        <x:f>IF(COUNT(F16,J16)&lt;2,"",F16*J16)</x:f>
        <x:v>467440.41</x:v>
      </x:c>
      <x:c r="S16" s="26" t="n">
        <x:f>IF(COUNT(F16,L16)&lt;2,"",F16*L16)</x:f>
        <x:v>174359.88</x:v>
      </x:c>
      <x:c r="T16" s="21" t="n">
        <x:f>IF(COUNT(F16,N16)&lt;2,"",F16*N16)</x:f>
        <x:v>149316.32</x:v>
      </x:c>
      <x:c r="U16" s="26" t="n">
        <x:f>IF(COUNT(R16:T16)&lt;3,"",SUM(R16:T16))</x:f>
        <x:v>791116.6100000001</x:v>
      </x:c>
      <x:c r="V16" s="26" t="n">
        <x:f>IF(COUNT(P16,U16)&lt;2,"",P16-U16)</x:f>
        <x:v>307492.3899999999</x:v>
      </x:c>
      <x:c r="W16" s="28" t="n">
        <x:f>IF(OR(P16="",P16=0,V16=""),"",V16/P16)</x:f>
        <x:v>0.2798924731182795</x:v>
      </x:c>
      <x:c r="X16" s="26" t="n">
        <x:f>IF(COUNT(G16,I16)&lt;2,"",G16*I16)</x:f>
        <x:v>1123129.44</x:v>
      </x:c>
      <x:c r="Y16" s="26" t="n">
        <x:f>IF(COUNT(K16,M16,O16)&lt;3,"",SUM(K16,M16,O16))</x:f>
        <x:v>67.64</x:v>
      </x:c>
      <x:c r="Z16" s="26" t="n">
        <x:f>IF(COUNT(G16,K16)&lt;2,"",G16*K16)</x:f>
        <x:v>475211.51999999996</x:v>
      </x:c>
      <x:c r="AA16" s="26" t="n">
        <x:f>IF(COUNT(G16,M16)&lt;2,"",G16*M16)</x:f>
        <x:v>180475.19999999998</x:v>
      </x:c>
      <x:c r="AB16" s="21" t="n">
        <x:f>IF(COUNT(G16,O16)&lt;2,"",G16*O16)</x:f>
        <x:v>152746.56</x:v>
      </x:c>
      <x:c r="AC16" s="26" t="n">
        <x:f>IF(COUNT(Z16:AB16)&lt;3,"",SUM(Z16:AB16))</x:f>
        <x:v>808433.28</x:v>
      </x:c>
      <x:c r="AD16" s="26" t="n">
        <x:f>IF(COUNT(X16,AC16)&lt;2,"",X16-AC16)</x:f>
        <x:v>314696.1599999999</x:v>
      </x:c>
      <x:c r="AE16" s="28" t="n">
        <x:f>IF(OR(X16="",X16=0,AD16=""),"",AD16/X16)</x:f>
        <x:v>0.2801958071725018</x:v>
      </x:c>
      <x:c r="AF16" s="29" t="n">
        <x:f>IF(COUNT(F16,G16)&lt;2,"",G16-F16)</x:f>
        <x:v>139</x:v>
      </x:c>
      <x:c r="AG16" s="30" t="n">
        <x:f>IF(OR(F16="",F16=0,AF16=""),"",AF16/ABS(F16))</x:f>
        <x:v>0.01176669770591721</x:v>
      </x:c>
      <x:c r="AH16" s="26" t="n">
        <x:f>IF(COUNT(P16,X16)&lt;2,"",X16-P16)</x:f>
        <x:v>24520.439999999944</x:v>
      </x:c>
      <x:c r="AI16" s="30" t="n">
        <x:f>IF(OR(P16="",P16=0,AH16=""),"",AH16/ABS(P16))</x:f>
        <x:v>0.022319533155107908</x:v>
      </x:c>
      <x:c r="AJ16" s="26" t="n">
        <x:f>IF(COUNT(U16,AC16)&lt;2,"",AC16-U16)</x:f>
        <x:v>17316.669999999925</x:v>
      </x:c>
      <x:c r="AK16" s="30" t="n">
        <x:f>IF(OR(U16="",U16=0,AJ16=""),"",AJ16/ABS(U16))</x:f>
        <x:v>0.021888897011023346</x:v>
      </x:c>
      <x:c r="AL16" s="26" t="n">
        <x:f>IF(COUNT(V16,AD16)&lt;2,"",AD16-V16)</x:f>
        <x:v>7203.770000000019</x:v>
      </x:c>
      <x:c r="AM16" s="30" t="n">
        <x:f>IF(OR(V16="",V16=0,AL16=""),"",AL16/ABS(V16))</x:f>
        <x:v>0.023427474091310102</x:v>
      </x:c>
      <x:c r="AN16" s="26" t="n">
        <x:f>IF(OR(W16="",AE16=""),"",(AE16-W16)*100)</x:f>
        <x:v>0.030333405422233728</x:v>
      </x:c>
      <x:c r="AO16" s="26" t="n">
        <x:f>IF(COUNT(F16,G16,H16)&lt;3,"",(G16-F16)*H16)</x:f>
        <x:v>12927</x:v>
      </x:c>
      <x:c r="AP16" s="26" t="n">
        <x:f>IF(COUNT(G16,H16,I16)&lt;3,"",G16*(I16-H16))</x:f>
        <x:v>11593.439999999986</x:v>
      </x:c>
    </x:row>
    <x:row r="17">
      <x:c r="A17" s="23" t="str">
        <x:v>2025-12</x:v>
      </x:c>
      <x:c r="B17" s="21" t="str">
        <x:v>Electric Motor Components</x:v>
      </x:c>
      <x:c r="C17" s="21" t="str">
        <x:v>EUR</x:v>
      </x:c>
      <x:c r="D17" s="21" t="str">
        <x:v>Synthetic Data</x:v>
      </x:c>
      <x:c r="E17" s="21" t="str">
        <x:v>Simulated Company</x:v>
      </x:c>
      <x:c r="F17" s="24" t="n">
        <x:v>11408</x:v>
      </x:c>
      <x:c r="G17" s="24" t="n">
        <x:v>11517</x:v>
      </x:c>
      <x:c r="H17" s="25" t="n">
        <x:v>93.1</x:v>
      </x:c>
      <x:c r="I17" s="25" t="n">
        <x:v>93.67</x:v>
      </x:c>
      <x:c r="J17" s="25" t="n">
        <x:v>39.62</x:v>
      </x:c>
      <x:c r="K17" s="25" t="n">
        <x:v>39.97</x:v>
      </x:c>
      <x:c r="L17" s="25" t="n">
        <x:v>14.79</x:v>
      </x:c>
      <x:c r="M17" s="25" t="n">
        <x:v>15.24</x:v>
      </x:c>
      <x:c r="N17" s="25" t="n">
        <x:v>12.65</x:v>
      </x:c>
      <x:c r="O17" s="25" t="n">
        <x:v>12.69</x:v>
      </x:c>
      <x:c r="P17" s="26" t="n">
        <x:f>IF(COUNT(F17,H17)&lt;2,"",F17*H17)</x:f>
        <x:v>1062084.8</x:v>
      </x:c>
      <x:c r="Q17" s="26" t="n">
        <x:f>IF(COUNT(J17,L17,N17)&lt;3,"",SUM(J17,L17,N17))</x:f>
        <x:v>67.06</x:v>
      </x:c>
      <x:c r="R17" s="26" t="n">
        <x:f>IF(COUNT(F17,J17)&lt;2,"",F17*J17)</x:f>
        <x:v>451984.95999999996</x:v>
      </x:c>
      <x:c r="S17" s="26" t="n">
        <x:f>IF(COUNT(F17,L17)&lt;2,"",F17*L17)</x:f>
        <x:v>168724.31999999998</x:v>
      </x:c>
      <x:c r="T17" s="21" t="n">
        <x:f>IF(COUNT(F17,N17)&lt;2,"",F17*N17)</x:f>
        <x:v>144311.2</x:v>
      </x:c>
      <x:c r="U17" s="26" t="n">
        <x:f>IF(COUNT(R17:T17)&lt;3,"",SUM(R17:T17))</x:f>
        <x:v>765020.48</x:v>
      </x:c>
      <x:c r="V17" s="26" t="n">
        <x:f>IF(COUNT(P17,U17)&lt;2,"",P17-U17)</x:f>
        <x:v>297064.32000000007</x:v>
      </x:c>
      <x:c r="W17" s="28" t="n">
        <x:f>IF(OR(P17="",P17=0,V17=""),"",V17/P17)</x:f>
        <x:v>0.2796992481203008</x:v>
      </x:c>
      <x:c r="X17" s="26" t="n">
        <x:f>IF(COUNT(G17,I17)&lt;2,"",G17*I17)</x:f>
        <x:v>1078797.3900000001</x:v>
      </x:c>
      <x:c r="Y17" s="26" t="n">
        <x:f>IF(COUNT(K17,M17,O17)&lt;3,"",SUM(K17,M17,O17))</x:f>
        <x:v>67.9</x:v>
      </x:c>
      <x:c r="Z17" s="26" t="n">
        <x:f>IF(COUNT(G17,K17)&lt;2,"",G17*K17)</x:f>
        <x:v>460334.49</x:v>
      </x:c>
      <x:c r="AA17" s="26" t="n">
        <x:f>IF(COUNT(G17,M17)&lt;2,"",G17*M17)</x:f>
        <x:v>175519.08000000002</x:v>
      </x:c>
      <x:c r="AB17" s="21" t="n">
        <x:f>IF(COUNT(G17,O17)&lt;2,"",G17*O17)</x:f>
        <x:v>146150.72999999998</x:v>
      </x:c>
      <x:c r="AC17" s="26" t="n">
        <x:f>IF(COUNT(Z17:AB17)&lt;3,"",SUM(Z17:AB17))</x:f>
        <x:v>782004.3</x:v>
      </x:c>
      <x:c r="AD17" s="26" t="n">
        <x:f>IF(COUNT(X17,AC17)&lt;2,"",X17-AC17)</x:f>
        <x:v>296793.0900000001</x:v>
      </x:c>
      <x:c r="AE17" s="28" t="n">
        <x:f>IF(OR(X17="",X17=0,AD17=""),"",AD17/X17)</x:f>
        <x:v>0.27511476459912465</x:v>
      </x:c>
      <x:c r="AF17" s="29" t="n">
        <x:f>IF(COUNT(F17,G17)&lt;2,"",G17-F17)</x:f>
        <x:v>109</x:v>
      </x:c>
      <x:c r="AG17" s="30" t="n">
        <x:f>IF(OR(F17="",F17=0,AF17=""),"",AF17/ABS(F17))</x:f>
        <x:v>0.009554698457223001</x:v>
      </x:c>
      <x:c r="AH17" s="26" t="n">
        <x:f>IF(COUNT(P17,X17)&lt;2,"",X17-P17)</x:f>
        <x:v>16712.590000000084</x:v>
      </x:c>
      <x:c r="AI17" s="30" t="n">
        <x:f>IF(OR(P17="",P17=0,AH17=""),"",AH17/ABS(P17))</x:f>
        <x:v>0.01573564559063465</x:v>
      </x:c>
      <x:c r="AJ17" s="26" t="n">
        <x:f>IF(COUNT(U17,AC17)&lt;2,"",AC17-U17)</x:f>
        <x:v>16983.820000000065</x:v>
      </x:c>
      <x:c r="AK17" s="30" t="n">
        <x:f>IF(OR(U17="",U17=0,AJ17=""),"",AJ17/ABS(U17))</x:f>
        <x:v>0.02220047756107139</x:v>
      </x:c>
      <x:c r="AL17" s="26" t="n">
        <x:f>IF(COUNT(V17,AD17)&lt;2,"",AD17-V17)</x:f>
        <x:v>-271.2299999999814</x:v>
      </x:c>
      <x:c r="AM17" s="30" t="n">
        <x:f>IF(OR(V17="",V17=0,AL17=""),"",AL17/ABS(V17))</x:f>
        <x:v>-0.0009130345912965291</x:v>
      </x:c>
      <x:c r="AN17" s="26" t="n">
        <x:f>IF(OR(W17="",AE17=""),"",(AE17-W17)*100)</x:f>
        <x:v>-0.45844835211761303</x:v>
      </x:c>
      <x:c r="AO17" s="26" t="n">
        <x:f>IF(COUNT(F17,G17,H17)&lt;3,"",(G17-F17)*H17)</x:f>
        <x:v>10147.9</x:v>
      </x:c>
      <x:c r="AP17" s="26" t="n">
        <x:f>IF(COUNT(G17,H17,I17)&lt;3,"",G17*(I17-H17))</x:f>
        <x:v>6564.690000000085</x:v>
      </x:c>
    </x:row>
    <x:row r="18">
      <x:c r="A18" s="23" t="str">
        <x:v>2025-01</x:v>
      </x:c>
      <x:c r="B18" s="21" t="str">
        <x:v>Battery Management Components</x:v>
      </x:c>
      <x:c r="C18" s="21" t="str">
        <x:v>EUR</x:v>
      </x:c>
      <x:c r="D18" s="21" t="str">
        <x:v>Synthetic Data</x:v>
      </x:c>
      <x:c r="E18" s="21" t="str">
        <x:v>Simulated Company</x:v>
      </x:c>
      <x:c r="F18" s="24" t="n">
        <x:v>5980</x:v>
      </x:c>
      <x:c r="G18" s="24" t="n">
        <x:v>6190</x:v>
      </x:c>
      <x:c r="H18" s="25" t="n">
        <x:v>145</x:v>
      </x:c>
      <x:c r="I18" s="25" t="n">
        <x:v>147.11</x:v>
      </x:c>
      <x:c r="J18" s="25" t="n">
        <x:v>57</x:v>
      </x:c>
      <x:c r="K18" s="25" t="n">
        <x:v>56.72</x:v>
      </x:c>
      <x:c r="L18" s="25" t="n">
        <x:v>19</x:v>
      </x:c>
      <x:c r="M18" s="25" t="n">
        <x:v>19.42</x:v>
      </x:c>
      <x:c r="N18" s="25" t="n">
        <x:v>16</x:v>
      </x:c>
      <x:c r="O18" s="25" t="n">
        <x:v>16.07</x:v>
      </x:c>
      <x:c r="P18" s="26" t="n">
        <x:f>IF(COUNT(F18,H18)&lt;2,"",F18*H18)</x:f>
        <x:v>867100</x:v>
      </x:c>
      <x:c r="Q18" s="26" t="n">
        <x:f>IF(COUNT(J18,L18,N18)&lt;3,"",SUM(J18,L18,N18))</x:f>
        <x:v>92</x:v>
      </x:c>
      <x:c r="R18" s="26" t="n">
        <x:f>IF(COUNT(F18,J18)&lt;2,"",F18*J18)</x:f>
        <x:v>340860</x:v>
      </x:c>
      <x:c r="S18" s="26" t="n">
        <x:f>IF(COUNT(F18,L18)&lt;2,"",F18*L18)</x:f>
        <x:v>113620</x:v>
      </x:c>
      <x:c r="T18" s="21" t="n">
        <x:f>IF(COUNT(F18,N18)&lt;2,"",F18*N18)</x:f>
        <x:v>95680</x:v>
      </x:c>
      <x:c r="U18" s="26" t="n">
        <x:f>IF(COUNT(R18:T18)&lt;3,"",SUM(R18:T18))</x:f>
        <x:v>550160</x:v>
      </x:c>
      <x:c r="V18" s="26" t="n">
        <x:f>IF(COUNT(P18,U18)&lt;2,"",P18-U18)</x:f>
        <x:v>316940</x:v>
      </x:c>
      <x:c r="W18" s="28" t="n">
        <x:f>IF(OR(P18="",P18=0,V18=""),"",V18/P18)</x:f>
        <x:v>0.36551724137931035</x:v>
      </x:c>
      <x:c r="X18" s="26" t="n">
        <x:f>IF(COUNT(G18,I18)&lt;2,"",G18*I18)</x:f>
        <x:v>910610.9000000001</x:v>
      </x:c>
      <x:c r="Y18" s="26" t="n">
        <x:f>IF(COUNT(K18,M18,O18)&lt;3,"",SUM(K18,M18,O18))</x:f>
        <x:v>92.21000000000001</x:v>
      </x:c>
      <x:c r="Z18" s="26" t="n">
        <x:f>IF(COUNT(G18,K18)&lt;2,"",G18*K18)</x:f>
        <x:v>351096.8</x:v>
      </x:c>
      <x:c r="AA18" s="26" t="n">
        <x:f>IF(COUNT(G18,M18)&lt;2,"",G18*M18)</x:f>
        <x:v>120209.80000000002</x:v>
      </x:c>
      <x:c r="AB18" s="21" t="n">
        <x:f>IF(COUNT(G18,O18)&lt;2,"",G18*O18)</x:f>
        <x:v>99473.3</x:v>
      </x:c>
      <x:c r="AC18" s="26" t="n">
        <x:f>IF(COUNT(Z18:AB18)&lt;3,"",SUM(Z18:AB18))</x:f>
        <x:v>570779.9</x:v>
      </x:c>
      <x:c r="AD18" s="26" t="n">
        <x:f>IF(COUNT(X18,AC18)&lt;2,"",X18-AC18)</x:f>
        <x:v>339831.0000000001</x:v>
      </x:c>
      <x:c r="AE18" s="28" t="n">
        <x:f>IF(OR(X18="",X18=0,AD18=""),"",AD18/X18)</x:f>
        <x:v>0.37319012983481753</x:v>
      </x:c>
      <x:c r="AF18" s="29" t="n">
        <x:f>IF(COUNT(F18,G18)&lt;2,"",G18-F18)</x:f>
        <x:v>210</x:v>
      </x:c>
      <x:c r="AG18" s="30" t="n">
        <x:f>IF(OR(F18="",F18=0,AF18=""),"",AF18/ABS(F18))</x:f>
        <x:v>0.03511705685618729</x:v>
      </x:c>
      <x:c r="AH18" s="26" t="n">
        <x:f>IF(COUNT(P18,X18)&lt;2,"",X18-P18)</x:f>
        <x:v>43510.90000000014</x:v>
      </x:c>
      <x:c r="AI18" s="30" t="n">
        <x:f>IF(OR(P18="",P18=0,AH18=""),"",AH18/ABS(P18))</x:f>
        <x:v>0.050179794718025764</x:v>
      </x:c>
      <x:c r="AJ18" s="26" t="n">
        <x:f>IF(COUNT(U18,AC18)&lt;2,"",AC18-U18)</x:f>
        <x:v>20619.900000000023</x:v>
      </x:c>
      <x:c r="AK18" s="30" t="n">
        <x:f>IF(OR(U18="",U18=0,AJ18=""),"",AJ18/ABS(U18))</x:f>
        <x:v>0.037479824051185155</x:v>
      </x:c>
      <x:c r="AL18" s="26" t="n">
        <x:f>IF(COUNT(V18,AD18)&lt;2,"",AD18-V18)</x:f>
        <x:v>22891.000000000116</x:v>
      </x:c>
      <x:c r="AM18" s="30" t="n">
        <x:f>IF(OR(V18="",V18=0,AL18=""),"",AL18/ABS(V18))</x:f>
        <x:v>0.07222502681895664</x:v>
      </x:c>
      <x:c r="AN18" s="26" t="n">
        <x:f>IF(OR(W18="",AE18=""),"",(AE18-W18)*100)</x:f>
        <x:v>0.7672888455507176</x:v>
      </x:c>
      <x:c r="AO18" s="26" t="n">
        <x:f>IF(COUNT(F18,G18,H18)&lt;3,"",(G18-F18)*H18)</x:f>
        <x:v>30450</x:v>
      </x:c>
      <x:c r="AP18" s="26" t="n">
        <x:f>IF(COUNT(G18,H18,I18)&lt;3,"",G18*(I18-H18))</x:f>
        <x:v>13060.900000000085</x:v>
      </x:c>
    </x:row>
    <x:row r="19">
      <x:c r="A19" s="23" t="str">
        <x:v>2025-02</x:v>
      </x:c>
      <x:c r="B19" s="21" t="str">
        <x:v>Battery Management Components</x:v>
      </x:c>
      <x:c r="C19" s="21" t="str">
        <x:v>EUR</x:v>
      </x:c>
      <x:c r="D19" s="21" t="str">
        <x:v>Synthetic Data</x:v>
      </x:c>
      <x:c r="E19" s="21" t="str">
        <x:v>Simulated Company</x:v>
      </x:c>
      <x:c r="F19" s="24" t="n">
        <x:v>6223</x:v>
      </x:c>
      <x:c r="G19" s="24" t="n">
        <x:v>6437</x:v>
      </x:c>
      <x:c r="H19" s="25" t="n">
        <x:v>145.16</x:v>
      </x:c>
      <x:c r="I19" s="25" t="n">
        <x:v>145.94</x:v>
      </x:c>
      <x:c r="J19" s="25" t="n">
        <x:v>57.08</x:v>
      </x:c>
      <x:c r="K19" s="25" t="n">
        <x:v>57.65</x:v>
      </x:c>
      <x:c r="L19" s="25" t="n">
        <x:v>19.03</x:v>
      </x:c>
      <x:c r="M19" s="25" t="n">
        <x:v>19.47</x:v>
      </x:c>
      <x:c r="N19" s="25" t="n">
        <x:v>16.02</x:v>
      </x:c>
      <x:c r="O19" s="25" t="n">
        <x:v>16.06</x:v>
      </x:c>
      <x:c r="P19" s="26" t="n">
        <x:f>IF(COUNT(F19,H19)&lt;2,"",F19*H19)</x:f>
        <x:v>903330.6799999999</x:v>
      </x:c>
      <x:c r="Q19" s="26" t="n">
        <x:f>IF(COUNT(J19,L19,N19)&lt;3,"",SUM(J19,L19,N19))</x:f>
        <x:v>92.13</x:v>
      </x:c>
      <x:c r="R19" s="26" t="n">
        <x:f>IF(COUNT(F19,J19)&lt;2,"",F19*J19)</x:f>
        <x:v>355208.83999999997</x:v>
      </x:c>
      <x:c r="S19" s="26" t="n">
        <x:f>IF(COUNT(F19,L19)&lt;2,"",F19*L19)</x:f>
        <x:v>118423.69</x:v>
      </x:c>
      <x:c r="T19" s="21" t="n">
        <x:f>IF(COUNT(F19,N19)&lt;2,"",F19*N19)</x:f>
        <x:v>99692.45999999999</x:v>
      </x:c>
      <x:c r="U19" s="26" t="n">
        <x:f>IF(COUNT(R19:T19)&lt;3,"",SUM(R19:T19))</x:f>
        <x:v>573324.99</x:v>
      </x:c>
      <x:c r="V19" s="26" t="n">
        <x:f>IF(COUNT(P19,U19)&lt;2,"",P19-U19)</x:f>
        <x:v>330005.68999999994</x:v>
      </x:c>
      <x:c r="W19" s="28" t="n">
        <x:f>IF(OR(P19="",P19=0,V19=""),"",V19/P19)</x:f>
        <x:v>0.3653210250757784</x:v>
      </x:c>
      <x:c r="X19" s="26" t="n">
        <x:f>IF(COUNT(G19,I19)&lt;2,"",G19*I19)</x:f>
        <x:v>939415.78</x:v>
      </x:c>
      <x:c r="Y19" s="26" t="n">
        <x:f>IF(COUNT(K19,M19,O19)&lt;3,"",SUM(K19,M19,O19))</x:f>
        <x:v>93.18</x:v>
      </x:c>
      <x:c r="Z19" s="26" t="n">
        <x:f>IF(COUNT(G19,K19)&lt;2,"",G19*K19)</x:f>
        <x:v>371093.05</x:v>
      </x:c>
      <x:c r="AA19" s="26" t="n">
        <x:f>IF(COUNT(G19,M19)&lt;2,"",G19*M19)</x:f>
        <x:v>125328.39</x:v>
      </x:c>
      <x:c r="AB19" s="21" t="n">
        <x:f>IF(COUNT(G19,O19)&lt;2,"",G19*O19)</x:f>
        <x:v>103378.21999999999</x:v>
      </x:c>
      <x:c r="AC19" s="26" t="n">
        <x:f>IF(COUNT(Z19:AB19)&lt;3,"",SUM(Z19:AB19))</x:f>
        <x:v>599799.66</x:v>
      </x:c>
      <x:c r="AD19" s="26" t="n">
        <x:f>IF(COUNT(X19,AC19)&lt;2,"",X19-AC19)</x:f>
        <x:v>339616.12</x:v>
      </x:c>
      <x:c r="AE19" s="28" t="n">
        <x:f>IF(OR(X19="",X19=0,AD19=""),"",AD19/X19)</x:f>
        <x:v>0.36151843223242425</x:v>
      </x:c>
      <x:c r="AF19" s="29" t="n">
        <x:f>IF(COUNT(F19,G19)&lt;2,"",G19-F19)</x:f>
        <x:v>214</x:v>
      </x:c>
      <x:c r="AG19" s="30" t="n">
        <x:f>IF(OR(F19="",F19=0,AF19=""),"",AF19/ABS(F19))</x:f>
        <x:v>0.034388558573035514</x:v>
      </x:c>
      <x:c r="AH19" s="26" t="n">
        <x:f>IF(COUNT(P19,X19)&lt;2,"",X19-P19)</x:f>
        <x:v>36085.10000000009</x:v>
      </x:c>
      <x:c r="AI19" s="30" t="n">
        <x:f>IF(OR(P19="",P19=0,AH19=""),"",AH19/ABS(P19))</x:f>
        <x:v>0.039946722500336304</x:v>
      </x:c>
      <x:c r="AJ19" s="26" t="n">
        <x:f>IF(COUNT(U19,AC19)&lt;2,"",AC19-U19)</x:f>
        <x:v>26474.670000000042</x:v>
      </x:c>
      <x:c r="AK19" s="30" t="n">
        <x:f>IF(OR(U19="",U19=0,AJ19=""),"",AJ19/ABS(U19))</x:f>
        <x:v>0.046177421988879364</x:v>
      </x:c>
      <x:c r="AL19" s="26" t="n">
        <x:f>IF(COUNT(V19,AD19)&lt;2,"",AD19-V19)</x:f>
        <x:v>9610.430000000051</x:v>
      </x:c>
      <x:c r="AM19" s="30" t="n">
        <x:f>IF(OR(V19="",V19=0,AL19=""),"",AL19/ABS(V19))</x:f>
        <x:v>0.02912201301741207</x:v>
      </x:c>
      <x:c r="AN19" s="26" t="n">
        <x:f>IF(OR(W19="",AE19=""),"",(AE19-W19)*100)</x:f>
        <x:v>-0.3802592843354158</x:v>
      </x:c>
      <x:c r="AO19" s="26" t="n">
        <x:f>IF(COUNT(F19,G19,H19)&lt;3,"",(G19-F19)*H19)</x:f>
        <x:v>31064.239999999998</x:v>
      </x:c>
      <x:c r="AP19" s="26" t="n">
        <x:f>IF(COUNT(G19,H19,I19)&lt;3,"",G19*(I19-H19))</x:f>
        <x:v>5020.860000000007</x:v>
      </x:c>
    </x:row>
    <x:row r="20">
      <x:c r="A20" s="23" t="str">
        <x:v>2025-03</x:v>
      </x:c>
      <x:c r="B20" s="21" t="str">
        <x:v>Battery Management Components</x:v>
      </x:c>
      <x:c r="C20" s="21" t="str">
        <x:v>EUR</x:v>
      </x:c>
      <x:c r="D20" s="21" t="str">
        <x:v>Synthetic Data</x:v>
      </x:c>
      <x:c r="E20" s="21" t="str">
        <x:v>Simulated Company</x:v>
      </x:c>
      <x:c r="F20" s="24" t="n">
        <x:v>6600</x:v>
      </x:c>
      <x:c r="G20" s="24" t="n">
        <x:v>6933</x:v>
      </x:c>
      <x:c r="H20" s="25" t="n">
        <x:v>145.32</x:v>
      </x:c>
      <x:c r="I20" s="25" t="n">
        <x:v>146.54</x:v>
      </x:c>
      <x:c r="J20" s="25" t="n">
        <x:v>57.17</x:v>
      </x:c>
      <x:c r="K20" s="25" t="n">
        <x:v>57.72</x:v>
      </x:c>
      <x:c r="L20" s="25" t="n">
        <x:v>19.07</x:v>
      </x:c>
      <x:c r="M20" s="25" t="n">
        <x:v>19.45</x:v>
      </x:c>
      <x:c r="N20" s="25" t="n">
        <x:v>16.03</x:v>
      </x:c>
      <x:c r="O20" s="25" t="n">
        <x:v>15.89</x:v>
      </x:c>
      <x:c r="P20" s="26" t="n">
        <x:f>IF(COUNT(F20,H20)&lt;2,"",F20*H20)</x:f>
        <x:v>959112</x:v>
      </x:c>
      <x:c r="Q20" s="26" t="n">
        <x:f>IF(COUNT(J20,L20,N20)&lt;3,"",SUM(J20,L20,N20))</x:f>
        <x:v>92.27000000000001</x:v>
      </x:c>
      <x:c r="R20" s="26" t="n">
        <x:f>IF(COUNT(F20,J20)&lt;2,"",F20*J20)</x:f>
        <x:v>377322</x:v>
      </x:c>
      <x:c r="S20" s="26" t="n">
        <x:f>IF(COUNT(F20,L20)&lt;2,"",F20*L20)</x:f>
        <x:v>125862</x:v>
      </x:c>
      <x:c r="T20" s="21" t="n">
        <x:f>IF(COUNT(F20,N20)&lt;2,"",F20*N20)</x:f>
        <x:v>105798.00000000001</x:v>
      </x:c>
      <x:c r="U20" s="26" t="n">
        <x:f>IF(COUNT(R20:T20)&lt;3,"",SUM(R20:T20))</x:f>
        <x:v>608982</x:v>
      </x:c>
      <x:c r="V20" s="26" t="n">
        <x:f>IF(COUNT(P20,U20)&lt;2,"",P20-U20)</x:f>
        <x:v>350130</x:v>
      </x:c>
      <x:c r="W20" s="28" t="n">
        <x:f>IF(OR(P20="",P20=0,V20=""),"",V20/P20)</x:f>
        <x:v>0.3650564271951555</x:v>
      </x:c>
      <x:c r="X20" s="26" t="n">
        <x:f>IF(COUNT(G20,I20)&lt;2,"",G20*I20)</x:f>
        <x:v>1015961.82</x:v>
      </x:c>
      <x:c r="Y20" s="26" t="n">
        <x:f>IF(COUNT(K20,M20,O20)&lt;3,"",SUM(K20,M20,O20))</x:f>
        <x:v>93.06</x:v>
      </x:c>
      <x:c r="Z20" s="26" t="n">
        <x:f>IF(COUNT(G20,K20)&lt;2,"",G20*K20)</x:f>
        <x:v>400172.76</x:v>
      </x:c>
      <x:c r="AA20" s="26" t="n">
        <x:f>IF(COUNT(G20,M20)&lt;2,"",G20*M20)</x:f>
        <x:v>134846.85</x:v>
      </x:c>
      <x:c r="AB20" s="21" t="n">
        <x:f>IF(COUNT(G20,O20)&lt;2,"",G20*O20)</x:f>
        <x:v>110165.37000000001</x:v>
      </x:c>
      <x:c r="AC20" s="26" t="n">
        <x:f>IF(COUNT(Z20:AB20)&lt;3,"",SUM(Z20:AB20))</x:f>
        <x:v>645184.98</x:v>
      </x:c>
      <x:c r="AD20" s="26" t="n">
        <x:f>IF(COUNT(X20,AC20)&lt;2,"",X20-AC20)</x:f>
        <x:v>370776.83999999997</x:v>
      </x:c>
      <x:c r="AE20" s="28" t="n">
        <x:f>IF(OR(X20="",X20=0,AD20=""),"",AD20/X20)</x:f>
        <x:v>0.3649515490651017</x:v>
      </x:c>
      <x:c r="AF20" s="29" t="n">
        <x:f>IF(COUNT(F20,G20)&lt;2,"",G20-F20)</x:f>
        <x:v>333</x:v>
      </x:c>
      <x:c r="AG20" s="30" t="n">
        <x:f>IF(OR(F20="",F20=0,AF20=""),"",AF20/ABS(F20))</x:f>
        <x:v>0.05045454545454545</x:v>
      </x:c>
      <x:c r="AH20" s="26" t="n">
        <x:f>IF(COUNT(P20,X20)&lt;2,"",X20-P20)</x:f>
        <x:v>56849.81999999995</x:v>
      </x:c>
      <x:c r="AI20" s="30" t="n">
        <x:f>IF(OR(P20="",P20=0,AH20=""),"",AH20/ABS(P20))</x:f>
        <x:v>0.05927339038610709</x:v>
      </x:c>
      <x:c r="AJ20" s="26" t="n">
        <x:f>IF(COUNT(U20,AC20)&lt;2,"",AC20-U20)</x:f>
        <x:v>36202.97999999998</x:v>
      </x:c>
      <x:c r="AK20" s="30" t="n">
        <x:f>IF(OR(U20="",U20=0,AJ20=""),"",AJ20/ABS(U20))</x:f>
        <x:v>0.05944835807954912</x:v>
      </x:c>
      <x:c r="AL20" s="26" t="n">
        <x:f>IF(COUNT(V20,AD20)&lt;2,"",AD20-V20)</x:f>
        <x:v>20646.839999999967</x:v>
      </x:c>
      <x:c r="AM20" s="30" t="n">
        <x:f>IF(OR(V20="",V20=0,AL20=""),"",AL20/ABS(V20))</x:f>
        <x:v>0.05896906863165101</x:v>
      </x:c>
      <x:c r="AN20" s="26" t="n">
        <x:f>IF(OR(W20="",AE20=""),"",(AE20-W20)*100)</x:f>
        <x:v>-0.01048781300538315</x:v>
      </x:c>
      <x:c r="AO20" s="26" t="n">
        <x:f>IF(COUNT(F20,G20,H20)&lt;3,"",(G20-F20)*H20)</x:f>
        <x:v>48391.56</x:v>
      </x:c>
      <x:c r="AP20" s="26" t="n">
        <x:f>IF(COUNT(G20,H20,I20)&lt;3,"",G20*(I20-H20))</x:f>
        <x:v>8458.259999999993</x:v>
      </x:c>
    </x:row>
    <x:row r="21">
      <x:c r="A21" s="23" t="str">
        <x:v>2025-04</x:v>
      </x:c>
      <x:c r="B21" s="21" t="str">
        <x:v>Battery Management Components</x:v>
      </x:c>
      <x:c r="C21" s="21" t="str">
        <x:v>EUR</x:v>
      </x:c>
      <x:c r="D21" s="21" t="str">
        <x:v>Synthetic Data</x:v>
      </x:c>
      <x:c r="E21" s="21" t="str">
        <x:v>Simulated Company</x:v>
      </x:c>
      <x:c r="F21" s="24" t="n">
        <x:v>6850</x:v>
      </x:c>
      <x:c r="G21" s="24" t="n">
        <x:v>7192</x:v>
      </x:c>
      <x:c r="H21" s="25" t="n">
        <x:v>145.47</x:v>
      </x:c>
      <x:c r="I21" s="25" t="n">
        <x:v>146.81</x:v>
      </x:c>
      <x:c r="J21" s="25" t="n">
        <x:v>57.25</x:v>
      </x:c>
      <x:c r="K21" s="25" t="n">
        <x:v>59.09</x:v>
      </x:c>
      <x:c r="L21" s="25" t="n">
        <x:v>19.1</x:v>
      </x:c>
      <x:c r="M21" s="25" t="n">
        <x:v>19.53</x:v>
      </x:c>
      <x:c r="N21" s="25" t="n">
        <x:v>16.05</x:v>
      </x:c>
      <x:c r="O21" s="25" t="n">
        <x:v>16.08</x:v>
      </x:c>
      <x:c r="P21" s="26" t="n">
        <x:f>IF(COUNT(F21,H21)&lt;2,"",F21*H21)</x:f>
        <x:v>996469.5</x:v>
      </x:c>
      <x:c r="Q21" s="26" t="n">
        <x:f>IF(COUNT(J21,L21,N21)&lt;3,"",SUM(J21,L21,N21))</x:f>
        <x:v>92.39999999999999</x:v>
      </x:c>
      <x:c r="R21" s="26" t="n">
        <x:f>IF(COUNT(F21,J21)&lt;2,"",F21*J21)</x:f>
        <x:v>392162.5</x:v>
      </x:c>
      <x:c r="S21" s="26" t="n">
        <x:f>IF(COUNT(F21,L21)&lt;2,"",F21*L21)</x:f>
        <x:v>130835.00000000001</x:v>
      </x:c>
      <x:c r="T21" s="21" t="n">
        <x:f>IF(COUNT(F21,N21)&lt;2,"",F21*N21)</x:f>
        <x:v>109942.5</x:v>
      </x:c>
      <x:c r="U21" s="26" t="n">
        <x:f>IF(COUNT(R21:T21)&lt;3,"",SUM(R21:T21))</x:f>
        <x:v>632940</x:v>
      </x:c>
      <x:c r="V21" s="26" t="n">
        <x:f>IF(COUNT(P21,U21)&lt;2,"",P21-U21)</x:f>
        <x:v>363529.5</x:v>
      </x:c>
      <x:c r="W21" s="28" t="n">
        <x:f>IF(OR(P21="",P21=0,V21=""),"",V21/P21)</x:f>
        <x:v>0.3648174881418849</x:v>
      </x:c>
      <x:c r="X21" s="26" t="n">
        <x:f>IF(COUNT(G21,I21)&lt;2,"",G21*I21)</x:f>
        <x:v>1055857.52</x:v>
      </x:c>
      <x:c r="Y21" s="26" t="n">
        <x:f>IF(COUNT(K21,M21,O21)&lt;3,"",SUM(K21,M21,O21))</x:f>
        <x:v>94.7</x:v>
      </x:c>
      <x:c r="Z21" s="26" t="n">
        <x:f>IF(COUNT(G21,K21)&lt;2,"",G21*K21)</x:f>
        <x:v>424975.28</x:v>
      </x:c>
      <x:c r="AA21" s="26" t="n">
        <x:f>IF(COUNT(G21,M21)&lt;2,"",G21*M21)</x:f>
        <x:v>140459.76</x:v>
      </x:c>
      <x:c r="AB21" s="21" t="n">
        <x:f>IF(COUNT(G21,O21)&lt;2,"",G21*O21)</x:f>
        <x:v>115647.35999999999</x:v>
      </x:c>
      <x:c r="AC21" s="26" t="n">
        <x:f>IF(COUNT(Z21:AB21)&lt;3,"",SUM(Z21:AB21))</x:f>
        <x:v>681082.4</x:v>
      </x:c>
      <x:c r="AD21" s="26" t="n">
        <x:f>IF(COUNT(X21,AC21)&lt;2,"",X21-AC21)</x:f>
        <x:v>374775.12</x:v>
      </x:c>
      <x:c r="AE21" s="28" t="n">
        <x:f>IF(OR(X21="",X21=0,AD21=""),"",AD21/X21)</x:f>
        <x:v>0.35494857298549143</x:v>
      </x:c>
      <x:c r="AF21" s="29" t="n">
        <x:f>IF(COUNT(F21,G21)&lt;2,"",G21-F21)</x:f>
        <x:v>342</x:v>
      </x:c>
      <x:c r="AG21" s="30" t="n">
        <x:f>IF(OR(F21="",F21=0,AF21=""),"",AF21/ABS(F21))</x:f>
        <x:v>0.049927007299270076</x:v>
      </x:c>
      <x:c r="AH21" s="26" t="n">
        <x:f>IF(COUNT(P21,X21)&lt;2,"",X21-P21)</x:f>
        <x:v>59388.02000000002</x:v>
      </x:c>
      <x:c r="AI21" s="30" t="n">
        <x:f>IF(OR(P21="",P21=0,AH21=""),"",AH21/ABS(P21))</x:f>
        <x:v>0.059598432265111995</x:v>
      </x:c>
      <x:c r="AJ21" s="26" t="n">
        <x:f>IF(COUNT(U21,AC21)&lt;2,"",AC21-U21)</x:f>
        <x:v>48142.40000000002</x:v>
      </x:c>
      <x:c r="AK21" s="30" t="n">
        <x:f>IF(OR(U21="",U21=0,AJ21=""),"",AJ21/ABS(U21))</x:f>
        <x:v>0.07606155401775844</x:v>
      </x:c>
      <x:c r="AL21" s="26" t="n">
        <x:f>IF(COUNT(V21,AD21)&lt;2,"",AD21-V21)</x:f>
        <x:v>11245.619999999995</x:v>
      </x:c>
      <x:c r="AM21" s="30" t="n">
        <x:f>IF(OR(V21="",V21=0,AL21=""),"",AL21/ABS(V21))</x:f>
        <x:v>0.030934545889673315</x:v>
      </x:c>
      <x:c r="AN21" s="26" t="n">
        <x:f>IF(OR(W21="",AE21=""),"",(AE21-W21)*100)</x:f>
        <x:v>-0.9868915156393487</x:v>
      </x:c>
      <x:c r="AO21" s="26" t="n">
        <x:f>IF(COUNT(F21,G21,H21)&lt;3,"",(G21-F21)*H21)</x:f>
        <x:v>49750.74</x:v>
      </x:c>
      <x:c r="AP21" s="26" t="n">
        <x:f>IF(COUNT(G21,H21,I21)&lt;3,"",G21*(I21-H21))</x:f>
        <x:v>9637.280000000024</x:v>
      </x:c>
    </x:row>
    <x:row r="22">
      <x:c r="A22" s="23" t="str">
        <x:v>2025-05</x:v>
      </x:c>
      <x:c r="B22" s="21" t="str">
        <x:v>Battery Management Components</x:v>
      </x:c>
      <x:c r="C22" s="21" t="str">
        <x:v>EUR</x:v>
      </x:c>
      <x:c r="D22" s="21" t="str">
        <x:v>Synthetic Data</x:v>
      </x:c>
      <x:c r="E22" s="21" t="str">
        <x:v>Simulated Company</x:v>
      </x:c>
      <x:c r="F22" s="24" t="n">
        <x:v>7036</x:v>
      </x:c>
      <x:c r="G22" s="24" t="n">
        <x:v>7520</x:v>
      </x:c>
      <x:c r="H22" s="25" t="n">
        <x:v>145.63</x:v>
      </x:c>
      <x:c r="I22" s="25" t="n">
        <x:v>147.16</x:v>
      </x:c>
      <x:c r="J22" s="25" t="n">
        <x:v>57.33</x:v>
      </x:c>
      <x:c r="K22" s="25" t="n">
        <x:v>59.84</x:v>
      </x:c>
      <x:c r="L22" s="25" t="n">
        <x:v>19.14</x:v>
      </x:c>
      <x:c r="M22" s="25" t="n">
        <x:v>19.56</x:v>
      </x:c>
      <x:c r="N22" s="25" t="n">
        <x:v>16.07</x:v>
      </x:c>
      <x:c r="O22" s="25" t="n">
        <x:v>15.92</x:v>
      </x:c>
      <x:c r="P22" s="26" t="n">
        <x:f>IF(COUNT(F22,H22)&lt;2,"",F22*H22)</x:f>
        <x:v>1024652.6799999999</x:v>
      </x:c>
      <x:c r="Q22" s="26" t="n">
        <x:f>IF(COUNT(J22,L22,N22)&lt;3,"",SUM(J22,L22,N22))</x:f>
        <x:v>92.53999999999999</x:v>
      </x:c>
      <x:c r="R22" s="26" t="n">
        <x:f>IF(COUNT(F22,J22)&lt;2,"",F22*J22)</x:f>
        <x:v>403373.88</x:v>
      </x:c>
      <x:c r="S22" s="26" t="n">
        <x:f>IF(COUNT(F22,L22)&lt;2,"",F22*L22)</x:f>
        <x:v>134669.04</x:v>
      </x:c>
      <x:c r="T22" s="21" t="n">
        <x:f>IF(COUNT(F22,N22)&lt;2,"",F22*N22)</x:f>
        <x:v>113068.52</x:v>
      </x:c>
      <x:c r="U22" s="26" t="n">
        <x:f>IF(COUNT(R22:T22)&lt;3,"",SUM(R22:T22))</x:f>
        <x:v>651111.4400000001</x:v>
      </x:c>
      <x:c r="V22" s="26" t="n">
        <x:f>IF(COUNT(P22,U22)&lt;2,"",P22-U22)</x:f>
        <x:v>373541.2399999999</x:v>
      </x:c>
      <x:c r="W22" s="28" t="n">
        <x:f>IF(OR(P22="",P22=0,V22=""),"",V22/P22)</x:f>
        <x:v>0.3645540067293826</x:v>
      </x:c>
      <x:c r="X22" s="26" t="n">
        <x:f>IF(COUNT(G22,I22)&lt;2,"",G22*I22)</x:f>
        <x:v>1106643.2</x:v>
      </x:c>
      <x:c r="Y22" s="26" t="n">
        <x:f>IF(COUNT(K22,M22,O22)&lt;3,"",SUM(K22,M22,O22))</x:f>
        <x:v>95.32000000000001</x:v>
      </x:c>
      <x:c r="Z22" s="26" t="n">
        <x:f>IF(COUNT(G22,K22)&lt;2,"",G22*K22)</x:f>
        <x:v>449996.80000000005</x:v>
      </x:c>
      <x:c r="AA22" s="26" t="n">
        <x:f>IF(COUNT(G22,M22)&lt;2,"",G22*M22)</x:f>
        <x:v>147091.19999999998</x:v>
      </x:c>
      <x:c r="AB22" s="21" t="n">
        <x:f>IF(COUNT(G22,O22)&lt;2,"",G22*O22)</x:f>
        <x:v>119718.4</x:v>
      </x:c>
      <x:c r="AC22" s="26" t="n">
        <x:f>IF(COUNT(Z22:AB22)&lt;3,"",SUM(Z22:AB22))</x:f>
        <x:v>716806.4</x:v>
      </x:c>
      <x:c r="AD22" s="26" t="n">
        <x:f>IF(COUNT(X22,AC22)&lt;2,"",X22-AC22)</x:f>
        <x:v>389836.79999999993</x:v>
      </x:c>
      <x:c r="AE22" s="28" t="n">
        <x:f>IF(OR(X22="",X22=0,AD22=""),"",AD22/X22)</x:f>
        <x:v>0.3522696384887197</x:v>
      </x:c>
      <x:c r="AF22" s="29" t="n">
        <x:f>IF(COUNT(F22,G22)&lt;2,"",G22-F22)</x:f>
        <x:v>484</x:v>
      </x:c>
      <x:c r="AG22" s="30" t="n">
        <x:f>IF(OR(F22="",F22=0,AF22=""),"",AF22/ABS(F22))</x:f>
        <x:v>0.06878908470722</x:v>
      </x:c>
      <x:c r="AH22" s="26" t="n">
        <x:f>IF(COUNT(P22,X22)&lt;2,"",X22-P22)</x:f>
        <x:v>81990.52000000002</x:v>
      </x:c>
      <x:c r="AI22" s="30" t="n">
        <x:f>IF(OR(P22="",P22=0,AH22=""),"",AH22/ABS(P22))</x:f>
        <x:v>0.08001786517554418</x:v>
      </x:c>
      <x:c r="AJ22" s="26" t="n">
        <x:f>IF(COUNT(U22,AC22)&lt;2,"",AC22-U22)</x:f>
        <x:v>65694.95999999996</x:v>
      </x:c>
      <x:c r="AK22" s="30" t="n">
        <x:f>IF(OR(U22="",U22=0,AJ22=""),"",AJ22/ABS(U22))</x:f>
        <x:v>0.10089664528087536</x:v>
      </x:c>
      <x:c r="AL22" s="26" t="n">
        <x:f>IF(COUNT(V22,AD22)&lt;2,"",AD22-V22)</x:f>
        <x:v>16295.560000000056</x:v>
      </x:c>
      <x:c r="AM22" s="30" t="n">
        <x:f>IF(OR(V22="",V22=0,AL22=""),"",AL22/ABS(V22))</x:f>
        <x:v>0.04362452724095487</x:v>
      </x:c>
      <x:c r="AN22" s="26" t="n">
        <x:f>IF(OR(W22="",AE22=""),"",(AE22-W22)*100)</x:f>
        <x:v>-1.2284368240662868</x:v>
      </x:c>
      <x:c r="AO22" s="26" t="n">
        <x:f>IF(COUNT(F22,G22,H22)&lt;3,"",(G22-F22)*H22)</x:f>
        <x:v>70484.92</x:v>
      </x:c>
      <x:c r="AP22" s="26" t="n">
        <x:f>IF(COUNT(G22,H22,I22)&lt;3,"",G22*(I22-H22))</x:f>
        <x:v>11505.60000000001</x:v>
      </x:c>
    </x:row>
    <x:row r="23">
      <x:c r="A23" s="23" t="str">
        <x:v>2025-06</x:v>
      </x:c>
      <x:c r="B23" s="21" t="str">
        <x:v>Battery Management Components</x:v>
      </x:c>
      <x:c r="C23" s="21" t="str">
        <x:v>EUR</x:v>
      </x:c>
      <x:c r="D23" s="21" t="str">
        <x:v>Synthetic Data</x:v>
      </x:c>
      <x:c r="E23" s="21" t="str">
        <x:v>Simulated Company</x:v>
      </x:c>
      <x:c r="F23" s="24" t="n">
        <x:v>7156</x:v>
      </x:c>
      <x:c r="G23" s="24" t="n">
        <x:v>7772</x:v>
      </x:c>
      <x:c r="H23" s="25" t="n">
        <x:v>145.79</x:v>
      </x:c>
      <x:c r="I23" s="25" t="n">
        <x:v>148.06</x:v>
      </x:c>
      <x:c r="J23" s="25" t="n">
        <x:v>57.41</x:v>
      </x:c>
      <x:c r="K23" s="25" t="n">
        <x:v>60.5</x:v>
      </x:c>
      <x:c r="L23" s="25" t="n">
        <x:v>19.17</x:v>
      </x:c>
      <x:c r="M23" s="25" t="n">
        <x:v>19.51</x:v>
      </x:c>
      <x:c r="N23" s="25" t="n">
        <x:v>16.09</x:v>
      </x:c>
      <x:c r="O23" s="25" t="n">
        <x:v>15.74</x:v>
      </x:c>
      <x:c r="P23" s="26" t="n">
        <x:f>IF(COUNT(F23,H23)&lt;2,"",F23*H23)</x:f>
        <x:v>1043273.24</x:v>
      </x:c>
      <x:c r="Q23" s="26" t="n">
        <x:f>IF(COUNT(J23,L23,N23)&lt;3,"",SUM(J23,L23,N23))</x:f>
        <x:v>92.67</x:v>
      </x:c>
      <x:c r="R23" s="26" t="n">
        <x:f>IF(COUNT(F23,J23)&lt;2,"",F23*J23)</x:f>
        <x:v>410825.95999999996</x:v>
      </x:c>
      <x:c r="S23" s="26" t="n">
        <x:f>IF(COUNT(F23,L23)&lt;2,"",F23*L23)</x:f>
        <x:v>137180.52000000002</x:v>
      </x:c>
      <x:c r="T23" s="21" t="n">
        <x:f>IF(COUNT(F23,N23)&lt;2,"",F23*N23)</x:f>
        <x:v>115140.04</x:v>
      </x:c>
      <x:c r="U23" s="26" t="n">
        <x:f>IF(COUNT(R23:T23)&lt;3,"",SUM(R23:T23))</x:f>
        <x:v>663146.52</x:v>
      </x:c>
      <x:c r="V23" s="26" t="n">
        <x:f>IF(COUNT(P23,U23)&lt;2,"",P23-U23)</x:f>
        <x:v>380126.72</x:v>
      </x:c>
      <x:c r="W23" s="28" t="n">
        <x:f>IF(OR(P23="",P23=0,V23=""),"",V23/P23)</x:f>
        <x:v>0.36435969545236296</x:v>
      </x:c>
      <x:c r="X23" s="26" t="n">
        <x:f>IF(COUNT(G23,I23)&lt;2,"",G23*I23)</x:f>
        <x:v>1150722.32</x:v>
      </x:c>
      <x:c r="Y23" s="26" t="n">
        <x:f>IF(COUNT(K23,M23,O23)&lt;3,"",SUM(K23,M23,O23))</x:f>
        <x:v>95.75</x:v>
      </x:c>
      <x:c r="Z23" s="26" t="n">
        <x:f>IF(COUNT(G23,K23)&lt;2,"",G23*K23)</x:f>
        <x:v>470206</x:v>
      </x:c>
      <x:c r="AA23" s="26" t="n">
        <x:f>IF(COUNT(G23,M23)&lt;2,"",G23*M23)</x:f>
        <x:v>151631.72</x:v>
      </x:c>
      <x:c r="AB23" s="21" t="n">
        <x:f>IF(COUNT(G23,O23)&lt;2,"",G23*O23)</x:f>
        <x:v>122331.28</x:v>
      </x:c>
      <x:c r="AC23" s="26" t="n">
        <x:f>IF(COUNT(Z23:AB23)&lt;3,"",SUM(Z23:AB23))</x:f>
        <x:v>744169</x:v>
      </x:c>
      <x:c r="AD23" s="26" t="n">
        <x:f>IF(COUNT(X23,AC23)&lt;2,"",X23-AC23)</x:f>
        <x:v>406553.32000000007</x:v>
      </x:c>
      <x:c r="AE23" s="28" t="n">
        <x:f>IF(OR(X23="",X23=0,AD23=""),"",AD23/X23)</x:f>
        <x:v>0.35330271511549377</x:v>
      </x:c>
      <x:c r="AF23" s="29" t="n">
        <x:f>IF(COUNT(F23,G23)&lt;2,"",G23-F23)</x:f>
        <x:v>616</x:v>
      </x:c>
      <x:c r="AG23" s="30" t="n">
        <x:f>IF(OR(F23="",F23=0,AF23=""),"",AF23/ABS(F23))</x:f>
        <x:v>0.08608160983789827</x:v>
      </x:c>
      <x:c r="AH23" s="26" t="n">
        <x:f>IF(COUNT(P23,X23)&lt;2,"",X23-P23)</x:f>
        <x:v>107449.08000000007</x:v>
      </x:c>
      <x:c r="AI23" s="30" t="n">
        <x:f>IF(OR(P23="",P23=0,AH23=""),"",AH23/ABS(P23))</x:f>
        <x:v>0.10299227074970319</x:v>
      </x:c>
      <x:c r="AJ23" s="26" t="n">
        <x:f>IF(COUNT(U23,AC23)&lt;2,"",AC23-U23)</x:f>
        <x:v>81022.47999999998</x:v>
      </x:c>
      <x:c r="AK23" s="30" t="n">
        <x:f>IF(OR(U23="",U23=0,AJ23=""),"",AJ23/ABS(U23))</x:f>
        <x:v>0.12217885121375587</x:v>
      </x:c>
      <x:c r="AL23" s="26" t="n">
        <x:f>IF(COUNT(V23,AD23)&lt;2,"",AD23-V23)</x:f>
        <x:v>26426.600000000093</x:v>
      </x:c>
      <x:c r="AM23" s="30" t="n">
        <x:f>IF(OR(V23="",V23=0,AL23=""),"",AL23/ABS(V23))</x:f>
        <x:v>0.06952050095294562</x:v>
      </x:c>
      <x:c r="AN23" s="26" t="n">
        <x:f>IF(OR(W23="",AE23=""),"",(AE23-W23)*100)</x:f>
        <x:v>-1.1056980336869193</x:v>
      </x:c>
      <x:c r="AO23" s="26" t="n">
        <x:f>IF(COUNT(F23,G23,H23)&lt;3,"",(G23-F23)*H23)</x:f>
        <x:v>89806.64</x:v>
      </x:c>
      <x:c r="AP23" s="26" t="n">
        <x:f>IF(COUNT(G23,H23,I23)&lt;3,"",G23*(I23-H23))</x:f>
        <x:v>17642.44000000008</x:v>
      </x:c>
    </x:row>
    <x:row r="24">
      <x:c r="A24" s="23" t="str">
        <x:v>2025-07</x:v>
      </x:c>
      <x:c r="B24" s="21" t="str">
        <x:v>Battery Management Components</x:v>
      </x:c>
      <x:c r="C24" s="21" t="str">
        <x:v>EUR</x:v>
      </x:c>
      <x:c r="D24" s="21" t="str">
        <x:v>Synthetic Data</x:v>
      </x:c>
      <x:c r="E24" s="21" t="str">
        <x:v>Simulated Company</x:v>
      </x:c>
      <x:c r="F24" s="24" t="n">
        <x:v>6869</x:v>
      </x:c>
      <x:c r="G24" s="24" t="n">
        <x:v>7498</x:v>
      </x:c>
      <x:c r="H24" s="25" t="n">
        <x:v>145.95</x:v>
      </x:c>
      <x:c r="I24" s="25" t="n">
        <x:v>147.57</x:v>
      </x:c>
      <x:c r="J24" s="25" t="n">
        <x:v>57.5</x:v>
      </x:c>
      <x:c r="K24" s="25" t="n">
        <x:v>60.65</x:v>
      </x:c>
      <x:c r="L24" s="25" t="n">
        <x:v>19.21</x:v>
      </x:c>
      <x:c r="M24" s="25" t="n">
        <x:v>19.79</x:v>
      </x:c>
      <x:c r="N24" s="25" t="n">
        <x:v>16.1</x:v>
      </x:c>
      <x:c r="O24" s="25" t="n">
        <x:v>15.8</x:v>
      </x:c>
      <x:c r="P24" s="26" t="n">
        <x:f>IF(COUNT(F24,H24)&lt;2,"",F24*H24)</x:f>
        <x:v>1002530.5499999999</x:v>
      </x:c>
      <x:c r="Q24" s="26" t="n">
        <x:f>IF(COUNT(J24,L24,N24)&lt;3,"",SUM(J24,L24,N24))</x:f>
        <x:v>92.81</x:v>
      </x:c>
      <x:c r="R24" s="26" t="n">
        <x:f>IF(COUNT(F24,J24)&lt;2,"",F24*J24)</x:f>
        <x:v>394967.5</x:v>
      </x:c>
      <x:c r="S24" s="26" t="n">
        <x:f>IF(COUNT(F24,L24)&lt;2,"",F24*L24)</x:f>
        <x:v>131953.49000000002</x:v>
      </x:c>
      <x:c r="T24" s="21" t="n">
        <x:f>IF(COUNT(F24,N24)&lt;2,"",F24*N24)</x:f>
        <x:v>110590.90000000001</x:v>
      </x:c>
      <x:c r="U24" s="26" t="n">
        <x:f>IF(COUNT(R24:T24)&lt;3,"",SUM(R24:T24))</x:f>
        <x:v>637511.89</x:v>
      </x:c>
      <x:c r="V24" s="26" t="n">
        <x:f>IF(COUNT(P24,U24)&lt;2,"",P24-U24)</x:f>
        <x:v>365018.6599999999</x:v>
      </x:c>
      <x:c r="W24" s="28" t="n">
        <x:f>IF(OR(P24="",P24=0,V24=""),"",V24/P24)</x:f>
        <x:v>0.3640972935936964</x:v>
      </x:c>
      <x:c r="X24" s="26" t="n">
        <x:f>IF(COUNT(G24,I24)&lt;2,"",G24*I24)</x:f>
        <x:v>1106479.8599999999</x:v>
      </x:c>
      <x:c r="Y24" s="26" t="n">
        <x:f>IF(COUNT(K24,M24,O24)&lt;3,"",SUM(K24,M24,O24))</x:f>
        <x:v>96.24</x:v>
      </x:c>
      <x:c r="Z24" s="26" t="n">
        <x:f>IF(COUNT(G24,K24)&lt;2,"",G24*K24)</x:f>
        <x:v>454753.7</x:v>
      </x:c>
      <x:c r="AA24" s="26" t="n">
        <x:f>IF(COUNT(G24,M24)&lt;2,"",G24*M24)</x:f>
        <x:v>148385.41999999998</x:v>
      </x:c>
      <x:c r="AB24" s="21" t="n">
        <x:f>IF(COUNT(G24,O24)&lt;2,"",G24*O24)</x:f>
        <x:v>118468.40000000001</x:v>
      </x:c>
      <x:c r="AC24" s="26" t="n">
        <x:f>IF(COUNT(Z24:AB24)&lt;3,"",SUM(Z24:AB24))</x:f>
        <x:v>721607.52</x:v>
      </x:c>
      <x:c r="AD24" s="26" t="n">
        <x:f>IF(COUNT(X24,AC24)&lt;2,"",X24-AC24)</x:f>
        <x:v>384872.33999999985</x:v>
      </x:c>
      <x:c r="AE24" s="28" t="n">
        <x:f>IF(OR(X24="",X24=0,AD24=""),"",AD24/X24)</x:f>
        <x:v>0.3478349257979263</x:v>
      </x:c>
      <x:c r="AF24" s="29" t="n">
        <x:f>IF(COUNT(F24,G24)&lt;2,"",G24-F24)</x:f>
        <x:v>629</x:v>
      </x:c>
      <x:c r="AG24" s="30" t="n">
        <x:f>IF(OR(F24="",F24=0,AF24=""),"",AF24/ABS(F24))</x:f>
        <x:v>0.09157082544766341</x:v>
      </x:c>
      <x:c r="AH24" s="26" t="n">
        <x:f>IF(COUNT(P24,X24)&lt;2,"",X24-P24)</x:f>
        <x:v>103949.30999999994</x:v>
      </x:c>
      <x:c r="AI24" s="30" t="n">
        <x:f>IF(OR(P24="",P24=0,AH24=""),"",AH24/ABS(P24))</x:f>
        <x:v>0.10368692505181008</x:v>
      </x:c>
      <x:c r="AJ24" s="26" t="n">
        <x:f>IF(COUNT(U24,AC24)&lt;2,"",AC24-U24)</x:f>
        <x:v>84095.63</x:v>
      </x:c>
      <x:c r="AK24" s="30" t="n">
        <x:f>IF(OR(U24="",U24=0,AJ24=""),"",AJ24/ABS(U24))</x:f>
        <x:v>0.13191225343263793</x:v>
      </x:c>
      <x:c r="AL24" s="26" t="n">
        <x:f>IF(COUNT(V24,AD24)&lt;2,"",AD24-V24)</x:f>
        <x:v>19853.679999999935</x:v>
      </x:c>
      <x:c r="AM24" s="30" t="n">
        <x:f>IF(OR(V24="",V24=0,AL24=""),"",AL24/ABS(V24))</x:f>
        <x:v>0.05439086319587042</x:v>
      </x:c>
      <x:c r="AN24" s="26" t="n">
        <x:f>IF(OR(W24="",AE24=""),"",(AE24-W24)*100)</x:f>
        <x:v>-1.6262367795770116</x:v>
      </x:c>
      <x:c r="AO24" s="26" t="n">
        <x:f>IF(COUNT(F24,G24,H24)&lt;3,"",(G24-F24)*H24)</x:f>
        <x:v>91802.54999999999</x:v>
      </x:c>
      <x:c r="AP24" s="26" t="n">
        <x:f>IF(COUNT(G24,H24,I24)&lt;3,"",G24*(I24-H24))</x:f>
        <x:v>12146.760000000035</x:v>
      </x:c>
    </x:row>
    <x:row r="25">
      <x:c r="A25" s="23" t="str">
        <x:v>2025-08</x:v>
      </x:c>
      <x:c r="B25" s="21" t="str">
        <x:v>Battery Management Components</x:v>
      </x:c>
      <x:c r="C25" s="21" t="str">
        <x:v>EUR</x:v>
      </x:c>
      <x:c r="D25" s="21" t="str">
        <x:v>Synthetic Data</x:v>
      </x:c>
      <x:c r="E25" s="21" t="str">
        <x:v>Simulated Company</x:v>
      </x:c>
      <x:c r="F25" s="24" t="n">
        <x:v>6029</x:v>
      </x:c>
      <x:c r="G25" s="24" t="n">
        <x:v>6486</x:v>
      </x:c>
      <x:c r="H25" s="25" t="n">
        <x:v>146.11</x:v>
      </x:c>
      <x:c r="I25" s="25" t="n">
        <x:v>147.85</x:v>
      </x:c>
      <x:c r="J25" s="25" t="n">
        <x:v>57.58</x:v>
      </x:c>
      <x:c r="K25" s="25" t="n">
        <x:v>60.27</x:v>
      </x:c>
      <x:c r="L25" s="25" t="n">
        <x:v>19.24</x:v>
      </x:c>
      <x:c r="M25" s="25" t="n">
        <x:v>19.64</x:v>
      </x:c>
      <x:c r="N25" s="25" t="n">
        <x:v>16.12</x:v>
      </x:c>
      <x:c r="O25" s="25" t="n">
        <x:v>16.03</x:v>
      </x:c>
      <x:c r="P25" s="26" t="n">
        <x:f>IF(COUNT(F25,H25)&lt;2,"",F25*H25)</x:f>
        <x:v>880897.1900000001</x:v>
      </x:c>
      <x:c r="Q25" s="26" t="n">
        <x:f>IF(COUNT(J25,L25,N25)&lt;3,"",SUM(J25,L25,N25))</x:f>
        <x:v>92.94</x:v>
      </x:c>
      <x:c r="R25" s="26" t="n">
        <x:f>IF(COUNT(F25,J25)&lt;2,"",F25*J25)</x:f>
        <x:v>347149.82</x:v>
      </x:c>
      <x:c r="S25" s="26" t="n">
        <x:f>IF(COUNT(F25,L25)&lt;2,"",F25*L25)</x:f>
        <x:v>115997.95999999999</x:v>
      </x:c>
      <x:c r="T25" s="21" t="n">
        <x:f>IF(COUNT(F25,N25)&lt;2,"",F25*N25)</x:f>
        <x:v>97187.48000000001</x:v>
      </x:c>
      <x:c r="U25" s="26" t="n">
        <x:f>IF(COUNT(R25:T25)&lt;3,"",SUM(R25:T25))</x:f>
        <x:v>560335.26</x:v>
      </x:c>
      <x:c r="V25" s="26" t="n">
        <x:f>IF(COUNT(P25,U25)&lt;2,"",P25-U25)</x:f>
        <x:v>320561.93000000005</x:v>
      </x:c>
      <x:c r="W25" s="28" t="n">
        <x:f>IF(OR(P25="",P25=0,V25=""),"",V25/P25)</x:f>
        <x:v>0.36390390801450967</x:v>
      </x:c>
      <x:c r="X25" s="26" t="n">
        <x:f>IF(COUNT(G25,I25)&lt;2,"",G25*I25)</x:f>
        <x:v>958955.1</x:v>
      </x:c>
      <x:c r="Y25" s="26" t="n">
        <x:f>IF(COUNT(K25,M25,O25)&lt;3,"",SUM(K25,M25,O25))</x:f>
        <x:v>95.94</x:v>
      </x:c>
      <x:c r="Z25" s="26" t="n">
        <x:f>IF(COUNT(G25,K25)&lt;2,"",G25*K25)</x:f>
        <x:v>390911.22000000003</x:v>
      </x:c>
      <x:c r="AA25" s="26" t="n">
        <x:f>IF(COUNT(G25,M25)&lt;2,"",G25*M25)</x:f>
        <x:v>127385.04000000001</x:v>
      </x:c>
      <x:c r="AB25" s="21" t="n">
        <x:f>IF(COUNT(G25,O25)&lt;2,"",G25*O25)</x:f>
        <x:v>103970.58</x:v>
      </x:c>
      <x:c r="AC25" s="26" t="n">
        <x:f>IF(COUNT(Z25:AB25)&lt;3,"",SUM(Z25:AB25))</x:f>
        <x:v>622266.84</x:v>
      </x:c>
      <x:c r="AD25" s="26" t="n">
        <x:f>IF(COUNT(X25,AC25)&lt;2,"",X25-AC25)</x:f>
        <x:v>336688.26</x:v>
      </x:c>
      <x:c r="AE25" s="28" t="n">
        <x:f>IF(OR(X25="",X25=0,AD25=""),"",AD25/X25)</x:f>
        <x:v>0.35109908691241126</x:v>
      </x:c>
      <x:c r="AF25" s="29" t="n">
        <x:f>IF(COUNT(F25,G25)&lt;2,"",G25-F25)</x:f>
        <x:v>457</x:v>
      </x:c>
      <x:c r="AG25" s="30" t="n">
        <x:f>IF(OR(F25="",F25=0,AF25=""),"",AF25/ABS(F25))</x:f>
        <x:v>0.07580029855697462</x:v>
      </x:c>
      <x:c r="AH25" s="26" t="n">
        <x:f>IF(COUNT(P25,X25)&lt;2,"",X25-P25)</x:f>
        <x:v>78057.90999999992</x:v>
      </x:c>
      <x:c r="AI25" s="30" t="n">
        <x:f>IF(OR(P25="",P25=0,AH25=""),"",AH25/ABS(P25))</x:f>
        <x:v>0.08861182767537255</x:v>
      </x:c>
      <x:c r="AJ25" s="26" t="n">
        <x:f>IF(COUNT(U25,AC25)&lt;2,"",AC25-U25)</x:f>
        <x:v>61931.57999999996</x:v>
      </x:c>
      <x:c r="AK25" s="30" t="n">
        <x:f>IF(OR(U25="",U25=0,AJ25=""),"",AJ25/ABS(U25))</x:f>
        <x:v>0.11052593763240949</x:v>
      </x:c>
      <x:c r="AL25" s="26" t="n">
        <x:f>IF(COUNT(V25,AD25)&lt;2,"",AD25-V25)</x:f>
        <x:v>16126.329999999958</x:v>
      </x:c>
      <x:c r="AM25" s="30" t="n">
        <x:f>IF(OR(V25="",V25=0,AL25=""),"",AL25/ABS(V25))</x:f>
        <x:v>0.05030644156653273</x:v>
      </x:c>
      <x:c r="AN25" s="26" t="n">
        <x:f>IF(OR(W25="",AE25=""),"",(AE25-W25)*100)</x:f>
        <x:v>-1.2804821102098407</x:v>
      </x:c>
      <x:c r="AO25" s="26" t="n">
        <x:f>IF(COUNT(F25,G25,H25)&lt;3,"",(G25-F25)*H25)</x:f>
        <x:v>66772.27</x:v>
      </x:c>
      <x:c r="AP25" s="26" t="n">
        <x:f>IF(COUNT(G25,H25,I25)&lt;3,"",G25*(I25-H25))</x:f>
        <x:v>11285.639999999874</x:v>
      </x:c>
    </x:row>
    <x:row r="26">
      <x:c r="A26" s="23" t="str">
        <x:v>2025-09</x:v>
      </x:c>
      <x:c r="B26" s="21" t="str">
        <x:v>Battery Management Components</x:v>
      </x:c>
      <x:c r="C26" s="21" t="str">
        <x:v>EUR</x:v>
      </x:c>
      <x:c r="D26" s="21" t="str">
        <x:v>Synthetic Data</x:v>
      </x:c>
      <x:c r="E26" s="21" t="str">
        <x:v>Simulated Company</x:v>
      </x:c>
      <x:c r="F26" s="24" t="n">
        <x:v>7040</x:v>
      </x:c>
      <x:c r="G26" s="24" t="n">
        <x:v>7837</x:v>
      </x:c>
      <x:c r="H26" s="25" t="n">
        <x:v>146.27</x:v>
      </x:c>
      <x:c r="I26" s="25" t="n">
        <x:v>148.09</x:v>
      </x:c>
      <x:c r="J26" s="25" t="n">
        <x:v>57.66</x:v>
      </x:c>
      <x:c r="K26" s="25" t="n">
        <x:v>59.53</x:v>
      </x:c>
      <x:c r="L26" s="25" t="n">
        <x:v>19.28</x:v>
      </x:c>
      <x:c r="M26" s="25" t="n">
        <x:v>19.8</x:v>
      </x:c>
      <x:c r="N26" s="25" t="n">
        <x:v>16.14</x:v>
      </x:c>
      <x:c r="O26" s="25" t="n">
        <x:v>15.74</x:v>
      </x:c>
      <x:c r="P26" s="26" t="n">
        <x:f>IF(COUNT(F26,H26)&lt;2,"",F26*H26)</x:f>
        <x:v>1029740.8</x:v>
      </x:c>
      <x:c r="Q26" s="26" t="n">
        <x:f>IF(COUNT(J26,L26,N26)&lt;3,"",SUM(J26,L26,N26))</x:f>
        <x:v>93.08</x:v>
      </x:c>
      <x:c r="R26" s="26" t="n">
        <x:f>IF(COUNT(F26,J26)&lt;2,"",F26*J26)</x:f>
        <x:v>405926.39999999997</x:v>
      </x:c>
      <x:c r="S26" s="26" t="n">
        <x:f>IF(COUNT(F26,L26)&lt;2,"",F26*L26)</x:f>
        <x:v>135731.2</x:v>
      </x:c>
      <x:c r="T26" s="21" t="n">
        <x:f>IF(COUNT(F26,N26)&lt;2,"",F26*N26)</x:f>
        <x:v>113625.6</x:v>
      </x:c>
      <x:c r="U26" s="26" t="n">
        <x:f>IF(COUNT(R26:T26)&lt;3,"",SUM(R26:T26))</x:f>
        <x:v>655283.2</x:v>
      </x:c>
      <x:c r="V26" s="26" t="n">
        <x:f>IF(COUNT(P26,U26)&lt;2,"",P26-U26)</x:f>
        <x:v>374457.6000000001</x:v>
      </x:c>
      <x:c r="W26" s="28" t="n">
        <x:f>IF(OR(P26="",P26=0,V26=""),"",V26/P26)</x:f>
        <x:v>0.36364257879264383</x:v>
      </x:c>
      <x:c r="X26" s="26" t="n">
        <x:f>IF(COUNT(G26,I26)&lt;2,"",G26*I26)</x:f>
        <x:v>1160581.33</x:v>
      </x:c>
      <x:c r="Y26" s="26" t="n">
        <x:f>IF(COUNT(K26,M26,O26)&lt;3,"",SUM(K26,M26,O26))</x:f>
        <x:v>95.07</x:v>
      </x:c>
      <x:c r="Z26" s="26" t="n">
        <x:f>IF(COUNT(G26,K26)&lt;2,"",G26*K26)</x:f>
        <x:v>466536.61</x:v>
      </x:c>
      <x:c r="AA26" s="26" t="n">
        <x:f>IF(COUNT(G26,M26)&lt;2,"",G26*M26)</x:f>
        <x:v>155172.6</x:v>
      </x:c>
      <x:c r="AB26" s="21" t="n">
        <x:f>IF(COUNT(G26,O26)&lt;2,"",G26*O26)</x:f>
        <x:v>123354.38</x:v>
      </x:c>
      <x:c r="AC26" s="26" t="n">
        <x:f>IF(COUNT(Z26:AB26)&lt;3,"",SUM(Z26:AB26))</x:f>
        <x:v>745063.59</x:v>
      </x:c>
      <x:c r="AD26" s="26" t="n">
        <x:f>IF(COUNT(X26,AC26)&lt;2,"",X26-AC26)</x:f>
        <x:v>415517.7400000001</x:v>
      </x:c>
      <x:c r="AE26" s="28" t="n">
        <x:f>IF(OR(X26="",X26=0,AD26=""),"",AD26/X26)</x:f>
        <x:v>0.3580255250185699</x:v>
      </x:c>
      <x:c r="AF26" s="29" t="n">
        <x:f>IF(COUNT(F26,G26)&lt;2,"",G26-F26)</x:f>
        <x:v>797</x:v>
      </x:c>
      <x:c r="AG26" s="30" t="n">
        <x:f>IF(OR(F26="",F26=0,AF26=""),"",AF26/ABS(F26))</x:f>
        <x:v>0.11321022727272727</x:v>
      </x:c>
      <x:c r="AH26" s="26" t="n">
        <x:f>IF(COUNT(P26,X26)&lt;2,"",X26-P26)</x:f>
        <x:v>130840.53000000003</x:v>
      </x:c>
      <x:c r="AI26" s="30" t="n">
        <x:f>IF(OR(P26="",P26=0,AH26=""),"",AH26/ABS(P26))</x:f>
        <x:v>0.12706161589401918</x:v>
      </x:c>
      <x:c r="AJ26" s="26" t="n">
        <x:f>IF(COUNT(U26,AC26)&lt;2,"",AC26-U26)</x:f>
        <x:v>89780.39000000001</x:v>
      </x:c>
      <x:c r="AK26" s="30" t="n">
        <x:f>IF(OR(U26="",U26=0,AJ26=""),"",AJ26/ABS(U26))</x:f>
        <x:v>0.13701005916220654</x:v>
      </x:c>
      <x:c r="AL26" s="26" t="n">
        <x:f>IF(COUNT(V26,AD26)&lt;2,"",AD26-V26)</x:f>
        <x:v>41060.140000000014</x:v>
      </x:c>
      <x:c r="AM26" s="30" t="n">
        <x:f>IF(OR(V26="",V26=0,AL26=""),"",AL26/ABS(V26))</x:f>
        <x:v>0.10965230776461742</x:v>
      </x:c>
      <x:c r="AN26" s="26" t="n">
        <x:f>IF(OR(W26="",AE26=""),"",(AE26-W26)*100)</x:f>
        <x:v>-0.5617053774073955</x:v>
      </x:c>
      <x:c r="AO26" s="26" t="n">
        <x:f>IF(COUNT(F26,G26,H26)&lt;3,"",(G26-F26)*H26)</x:f>
        <x:v>116577.19</x:v>
      </x:c>
      <x:c r="AP26" s="26" t="n">
        <x:f>IF(COUNT(G26,H26,I26)&lt;3,"",G26*(I26-H26))</x:f>
        <x:v>14263.339999999947</x:v>
      </x:c>
    </x:row>
    <x:row r="27">
      <x:c r="A27" s="23" t="str">
        <x:v>2025-10</x:v>
      </x:c>
      <x:c r="B27" s="21" t="str">
        <x:v>Battery Management Components</x:v>
      </x:c>
      <x:c r="C27" s="21" t="str">
        <x:v>EUR</x:v>
      </x:c>
      <x:c r="D27" s="21" t="str">
        <x:v>Synthetic Data</x:v>
      </x:c>
      <x:c r="E27" s="21" t="str">
        <x:v>Simulated Company</x:v>
      </x:c>
      <x:c r="F27" s="24" t="n">
        <x:v>7508</x:v>
      </x:c>
      <x:c r="G27" s="24" t="n">
        <x:v>8251</x:v>
      </x:c>
      <x:c r="H27" s="25" t="n">
        <x:v>146.42</x:v>
      </x:c>
      <x:c r="I27" s="25" t="n">
        <x:v>147.68</x:v>
      </x:c>
      <x:c r="J27" s="25" t="n">
        <x:v>57.75</x:v>
      </x:c>
      <x:c r="K27" s="25" t="n">
        <x:v>59</x:v>
      </x:c>
      <x:c r="L27" s="25" t="n">
        <x:v>19.31</x:v>
      </x:c>
      <x:c r="M27" s="25" t="n">
        <x:v>19.82</x:v>
      </x:c>
      <x:c r="N27" s="25" t="n">
        <x:v>16.16</x:v>
      </x:c>
      <x:c r="O27" s="25" t="n">
        <x:v>15.69</x:v>
      </x:c>
      <x:c r="P27" s="26" t="n">
        <x:f>IF(COUNT(F27,H27)&lt;2,"",F27*H27)</x:f>
        <x:v>1099321.3599999999</x:v>
      </x:c>
      <x:c r="Q27" s="26" t="n">
        <x:f>IF(COUNT(J27,L27,N27)&lt;3,"",SUM(J27,L27,N27))</x:f>
        <x:v>93.22</x:v>
      </x:c>
      <x:c r="R27" s="26" t="n">
        <x:f>IF(COUNT(F27,J27)&lt;2,"",F27*J27)</x:f>
        <x:v>433587</x:v>
      </x:c>
      <x:c r="S27" s="26" t="n">
        <x:f>IF(COUNT(F27,L27)&lt;2,"",F27*L27)</x:f>
        <x:v>144979.47999999998</x:v>
      </x:c>
      <x:c r="T27" s="21" t="n">
        <x:f>IF(COUNT(F27,N27)&lt;2,"",F27*N27)</x:f>
        <x:v>121329.28</x:v>
      </x:c>
      <x:c r="U27" s="26" t="n">
        <x:f>IF(COUNT(R27:T27)&lt;3,"",SUM(R27:T27))</x:f>
        <x:v>699895.76</x:v>
      </x:c>
      <x:c r="V27" s="26" t="n">
        <x:f>IF(COUNT(P27,U27)&lt;2,"",P27-U27)</x:f>
        <x:v>399425.59999999986</x:v>
      </x:c>
      <x:c r="W27" s="28" t="n">
        <x:f>IF(OR(P27="",P27=0,V27=""),"",V27/P27)</x:f>
        <x:v>0.3633383417565905</x:v>
      </x:c>
      <x:c r="X27" s="26" t="n">
        <x:f>IF(COUNT(G27,I27)&lt;2,"",G27*I27)</x:f>
        <x:v>1218507.6800000002</x:v>
      </x:c>
      <x:c r="Y27" s="26" t="n">
        <x:f>IF(COUNT(K27,M27,O27)&lt;3,"",SUM(K27,M27,O27))</x:f>
        <x:v>94.50999999999999</x:v>
      </x:c>
      <x:c r="Z27" s="26" t="n">
        <x:f>IF(COUNT(G27,K27)&lt;2,"",G27*K27)</x:f>
        <x:v>486809</x:v>
      </x:c>
      <x:c r="AA27" s="26" t="n">
        <x:f>IF(COUNT(G27,M27)&lt;2,"",G27*M27)</x:f>
        <x:v>163534.82</x:v>
      </x:c>
      <x:c r="AB27" s="21" t="n">
        <x:f>IF(COUNT(G27,O27)&lt;2,"",G27*O27)</x:f>
        <x:v>129458.19</x:v>
      </x:c>
      <x:c r="AC27" s="26" t="n">
        <x:f>IF(COUNT(Z27:AB27)&lt;3,"",SUM(Z27:AB27))</x:f>
        <x:v>779802.01</x:v>
      </x:c>
      <x:c r="AD27" s="26" t="n">
        <x:f>IF(COUNT(X27,AC27)&lt;2,"",X27-AC27)</x:f>
        <x:v>438705.67000000016</x:v>
      </x:c>
      <x:c r="AE27" s="28" t="n">
        <x:f>IF(OR(X27="",X27=0,AD27=""),"",AD27/X27)</x:f>
        <x:v>0.36003521126760574</x:v>
      </x:c>
      <x:c r="AF27" s="29" t="n">
        <x:f>IF(COUNT(F27,G27)&lt;2,"",G27-F27)</x:f>
        <x:v>743</x:v>
      </x:c>
      <x:c r="AG27" s="30" t="n">
        <x:f>IF(OR(F27="",F27=0,AF27=""),"",AF27/ABS(F27))</x:f>
        <x:v>0.09896110815130528</x:v>
      </x:c>
      <x:c r="AH27" s="26" t="n">
        <x:f>IF(COUNT(P27,X27)&lt;2,"",X27-P27)</x:f>
        <x:v>119186.3200000003</x:v>
      </x:c>
      <x:c r="AI27" s="30" t="n">
        <x:f>IF(OR(P27="",P27=0,AH27=""),"",AH27/ABS(P27))</x:f>
        <x:v>0.10841808804661116</x:v>
      </x:c>
      <x:c r="AJ27" s="26" t="n">
        <x:f>IF(COUNT(U27,AC27)&lt;2,"",AC27-U27)</x:f>
        <x:v>79906.25</x:v>
      </x:c>
      <x:c r="AK27" s="30" t="n">
        <x:f>IF(OR(U27="",U27=0,AJ27=""),"",AJ27/ABS(U27))</x:f>
        <x:v>0.11416878707766424</x:v>
      </x:c>
      <x:c r="AL27" s="26" t="n">
        <x:f>IF(COUNT(V27,AD27)&lt;2,"",AD27-V27)</x:f>
        <x:v>39280.0700000003</x:v>
      </x:c>
      <x:c r="AM27" s="30" t="n">
        <x:f>IF(OR(V27="",V27=0,AL27=""),"",AL27/ABS(V27))</x:f>
        <x:v>0.09834139324069442</x:v>
      </x:c>
      <x:c r="AN27" s="26" t="n">
        <x:f>IF(OR(W27="",AE27=""),"",(AE27-W27)*100)</x:f>
        <x:v>-0.33031304889847846</x:v>
      </x:c>
      <x:c r="AO27" s="26" t="n">
        <x:f>IF(COUNT(F27,G27,H27)&lt;3,"",(G27-F27)*H27)</x:f>
        <x:v>108790.06</x:v>
      </x:c>
      <x:c r="AP27" s="26" t="n">
        <x:f>IF(COUNT(G27,H27,I27)&lt;3,"",G27*(I27-H27))</x:f>
        <x:v>10396.26000000016</x:v>
      </x:c>
    </x:row>
    <x:row r="28">
      <x:c r="A28" s="23" t="str">
        <x:v>2025-11</x:v>
      </x:c>
      <x:c r="B28" s="21" t="str">
        <x:v>Battery Management Components</x:v>
      </x:c>
      <x:c r="C28" s="21" t="str">
        <x:v>EUR</x:v>
      </x:c>
      <x:c r="D28" s="21" t="str">
        <x:v>Synthetic Data</x:v>
      </x:c>
      <x:c r="E28" s="21" t="str">
        <x:v>Simulated Company</x:v>
      </x:c>
      <x:c r="F28" s="24" t="n">
        <x:v>7702</x:v>
      </x:c>
      <x:c r="G28" s="24" t="n">
        <x:v>8845</x:v>
      </x:c>
      <x:c r="H28" s="25" t="n">
        <x:v>146.58</x:v>
      </x:c>
      <x:c r="I28" s="25" t="n">
        <x:v>147.7</x:v>
      </x:c>
      <x:c r="J28" s="25" t="n">
        <x:v>57.83</x:v>
      </x:c>
      <x:c r="K28" s="25" t="n">
        <x:v>58.93</x:v>
      </x:c>
      <x:c r="L28" s="25" t="n">
        <x:v>19.35</x:v>
      </x:c>
      <x:c r="M28" s="25" t="n">
        <x:v>19.85</x:v>
      </x:c>
      <x:c r="N28" s="25" t="n">
        <x:v>16.17</x:v>
      </x:c>
      <x:c r="O28" s="25" t="n">
        <x:v>15.57</x:v>
      </x:c>
      <x:c r="P28" s="26" t="n">
        <x:f>IF(COUNT(F28,H28)&lt;2,"",F28*H28)</x:f>
        <x:v>1128959.1600000001</x:v>
      </x:c>
      <x:c r="Q28" s="26" t="n">
        <x:f>IF(COUNT(J28,L28,N28)&lt;3,"",SUM(J28,L28,N28))</x:f>
        <x:v>93.35000000000001</x:v>
      </x:c>
      <x:c r="R28" s="26" t="n">
        <x:f>IF(COUNT(F28,J28)&lt;2,"",F28*J28)</x:f>
        <x:v>445406.66</x:v>
      </x:c>
      <x:c r="S28" s="26" t="n">
        <x:f>IF(COUNT(F28,L28)&lt;2,"",F28*L28)</x:f>
        <x:v>149033.7</x:v>
      </x:c>
      <x:c r="T28" s="21" t="n">
        <x:f>IF(COUNT(F28,N28)&lt;2,"",F28*N28)</x:f>
        <x:v>124541.34000000001</x:v>
      </x:c>
      <x:c r="U28" s="26" t="n">
        <x:f>IF(COUNT(R28:T28)&lt;3,"",SUM(R28:T28))</x:f>
        <x:v>718981.7</x:v>
      </x:c>
      <x:c r="V28" s="26" t="n">
        <x:f>IF(COUNT(P28,U28)&lt;2,"",P28-U28)</x:f>
        <x:v>409977.4600000002</x:v>
      </x:c>
      <x:c r="W28" s="28" t="n">
        <x:f>IF(OR(P28="",P28=0,V28=""),"",V28/P28)</x:f>
        <x:v>0.36314640469368276</x:v>
      </x:c>
      <x:c r="X28" s="26" t="n">
        <x:f>IF(COUNT(G28,I28)&lt;2,"",G28*I28)</x:f>
        <x:v>1306406.5</x:v>
      </x:c>
      <x:c r="Y28" s="26" t="n">
        <x:f>IF(COUNT(K28,M28,O28)&lt;3,"",SUM(K28,M28,O28))</x:f>
        <x:v>94.35</x:v>
      </x:c>
      <x:c r="Z28" s="26" t="n">
        <x:f>IF(COUNT(G28,K28)&lt;2,"",G28*K28)</x:f>
        <x:v>521235.85</x:v>
      </x:c>
      <x:c r="AA28" s="26" t="n">
        <x:f>IF(COUNT(G28,M28)&lt;2,"",G28*M28)</x:f>
        <x:v>175573.25</x:v>
      </x:c>
      <x:c r="AB28" s="21" t="n">
        <x:f>IF(COUNT(G28,O28)&lt;2,"",G28*O28)</x:f>
        <x:v>137716.65</x:v>
      </x:c>
      <x:c r="AC28" s="26" t="n">
        <x:f>IF(COUNT(Z28:AB28)&lt;3,"",SUM(Z28:AB28))</x:f>
        <x:v>834525.75</x:v>
      </x:c>
      <x:c r="AD28" s="26" t="n">
        <x:f>IF(COUNT(X28,AC28)&lt;2,"",X28-AC28)</x:f>
        <x:v>471880.75</x:v>
      </x:c>
      <x:c r="AE28" s="28" t="n">
        <x:f>IF(OR(X28="",X28=0,AD28=""),"",AD28/X28)</x:f>
        <x:v>0.3612051455653351</x:v>
      </x:c>
      <x:c r="AF28" s="29" t="n">
        <x:f>IF(COUNT(F28,G28)&lt;2,"",G28-F28)</x:f>
        <x:v>1143</x:v>
      </x:c>
      <x:c r="AG28" s="30" t="n">
        <x:f>IF(OR(F28="",F28=0,AF28=""),"",AF28/ABS(F28))</x:f>
        <x:v>0.14840301220462218</x:v>
      </x:c>
      <x:c r="AH28" s="26" t="n">
        <x:f>IF(COUNT(P28,X28)&lt;2,"",X28-P28)</x:f>
        <x:v>177447.33999999985</x:v>
      </x:c>
      <x:c r="AI28" s="30" t="n">
        <x:f>IF(OR(P28="",P28=0,AH28=""),"",AH28/ABS(P28))</x:f>
        <x:v>0.1571778203207987</x:v>
      </x:c>
      <x:c r="AJ28" s="26" t="n">
        <x:f>IF(COUNT(U28,AC28)&lt;2,"",AC28-U28)</x:f>
        <x:v>115544.05000000005</x:v>
      </x:c>
      <x:c r="AK28" s="30" t="n">
        <x:f>IF(OR(U28="",U28=0,AJ28=""),"",AJ28/ABS(U28))</x:f>
        <x:v>0.16070513338517525</x:v>
      </x:c>
      <x:c r="AL28" s="26" t="n">
        <x:f>IF(COUNT(V28,AD28)&lt;2,"",AD28-V28)</x:f>
        <x:v>61903.289999999804</x:v>
      </x:c>
      <x:c r="AM28" s="30" t="n">
        <x:f>IF(OR(V28="",V28=0,AL28=""),"",AL28/ABS(V28))</x:f>
        <x:v>0.15099193502003688</x:v>
      </x:c>
      <x:c r="AN28" s="26" t="n">
        <x:f>IF(OR(W28="",AE28=""),"",(AE28-W28)*100)</x:f>
        <x:v>-0.19412591283476388</x:v>
      </x:c>
      <x:c r="AO28" s="26" t="n">
        <x:f>IF(COUNT(F28,G28,H28)&lt;3,"",(G28-F28)*H28)</x:f>
        <x:v>167540.94</x:v>
      </x:c>
      <x:c r="AP28" s="26" t="n">
        <x:f>IF(COUNT(G28,H28,I28)&lt;3,"",G28*(I28-H28))</x:f>
        <x:v>9906.399999999789</x:v>
      </x:c>
    </x:row>
    <x:row r="29">
      <x:c r="A29" s="23" t="str">
        <x:v>2025-12</x:v>
      </x:c>
      <x:c r="B29" s="21" t="str">
        <x:v>Battery Management Components</x:v>
      </x:c>
      <x:c r="C29" s="21" t="str">
        <x:v>EUR</x:v>
      </x:c>
      <x:c r="D29" s="21" t="str">
        <x:v>Synthetic Data</x:v>
      </x:c>
      <x:c r="E29" s="21" t="str">
        <x:v>Simulated Company</x:v>
      </x:c>
      <x:c r="F29" s="24" t="n">
        <x:v>7476</x:v>
      </x:c>
      <x:c r="G29" s="24" t="n">
        <x:v>8301</x:v>
      </x:c>
      <x:c r="H29" s="25" t="n">
        <x:v>146.74</x:v>
      </x:c>
      <x:c r="I29" s="25" t="n">
        <x:v>147.12</x:v>
      </x:c>
      <x:c r="J29" s="25" t="n">
        <x:v>57.91</x:v>
      </x:c>
      <x:c r="K29" s="25" t="n">
        <x:v>58.35</x:v>
      </x:c>
      <x:c r="L29" s="25" t="n">
        <x:v>19.38</x:v>
      </x:c>
      <x:c r="M29" s="25" t="n">
        <x:v>19.87</x:v>
      </x:c>
      <x:c r="N29" s="25" t="n">
        <x:v>16.19</x:v>
      </x:c>
      <x:c r="O29" s="25" t="n">
        <x:v>15.69</x:v>
      </x:c>
      <x:c r="P29" s="26" t="n">
        <x:f>IF(COUNT(F29,H29)&lt;2,"",F29*H29)</x:f>
        <x:v>1097028.24</x:v>
      </x:c>
      <x:c r="Q29" s="26" t="n">
        <x:f>IF(COUNT(J29,L29,N29)&lt;3,"",SUM(J29,L29,N29))</x:f>
        <x:v>93.47999999999999</x:v>
      </x:c>
      <x:c r="R29" s="26" t="n">
        <x:f>IF(COUNT(F29,J29)&lt;2,"",F29*J29)</x:f>
        <x:v>432935.16</x:v>
      </x:c>
      <x:c r="S29" s="26" t="n">
        <x:f>IF(COUNT(F29,L29)&lt;2,"",F29*L29)</x:f>
        <x:v>144884.88</x:v>
      </x:c>
      <x:c r="T29" s="21" t="n">
        <x:f>IF(COUNT(F29,N29)&lt;2,"",F29*N29)</x:f>
        <x:v>121036.44</x:v>
      </x:c>
      <x:c r="U29" s="26" t="n">
        <x:f>IF(COUNT(R29:T29)&lt;3,"",SUM(R29:T29))</x:f>
        <x:v>698856.48</x:v>
      </x:c>
      <x:c r="V29" s="26" t="n">
        <x:f>IF(COUNT(P29,U29)&lt;2,"",P29-U29)</x:f>
        <x:v>398171.76</x:v>
      </x:c>
      <x:c r="W29" s="28" t="n">
        <x:f>IF(OR(P29="",P29=0,V29=""),"",V29/P29)</x:f>
        <x:v>0.362954886193267</x:v>
      </x:c>
      <x:c r="X29" s="26" t="n">
        <x:f>IF(COUNT(G29,I29)&lt;2,"",G29*I29)</x:f>
        <x:v>1221243.12</x:v>
      </x:c>
      <x:c r="Y29" s="26" t="n">
        <x:f>IF(COUNT(K29,M29,O29)&lt;3,"",SUM(K29,M29,O29))</x:f>
        <x:v>93.91</x:v>
      </x:c>
      <x:c r="Z29" s="26" t="n">
        <x:f>IF(COUNT(G29,K29)&lt;2,"",G29*K29)</x:f>
        <x:v>484363.35000000003</x:v>
      </x:c>
      <x:c r="AA29" s="26" t="n">
        <x:f>IF(COUNT(G29,M29)&lt;2,"",G29*M29)</x:f>
        <x:v>164940.87</x:v>
      </x:c>
      <x:c r="AB29" s="21" t="n">
        <x:f>IF(COUNT(G29,O29)&lt;2,"",G29*O29)</x:f>
        <x:v>130242.69</x:v>
      </x:c>
      <x:c r="AC29" s="26" t="n">
        <x:f>IF(COUNT(Z29:AB29)&lt;3,"",SUM(Z29:AB29))</x:f>
        <x:v>779546.9099999999</x:v>
      </x:c>
      <x:c r="AD29" s="26" t="n">
        <x:f>IF(COUNT(X29,AC29)&lt;2,"",X29-AC29)</x:f>
        <x:v>441696.2100000002</x:v>
      </x:c>
      <x:c r="AE29" s="28" t="n">
        <x:f>IF(OR(X29="",X29=0,AD29=""),"",AD29/X29)</x:f>
        <x:v>0.36167754214246883</x:v>
      </x:c>
      <x:c r="AF29" s="29" t="n">
        <x:f>IF(COUNT(F29,G29)&lt;2,"",G29-F29)</x:f>
        <x:v>825</x:v>
      </x:c>
      <x:c r="AG29" s="30" t="n">
        <x:f>IF(OR(F29="",F29=0,AF29=""),"",AF29/ABS(F29))</x:f>
        <x:v>0.11035313001605136</x:v>
      </x:c>
      <x:c r="AH29" s="26" t="n">
        <x:f>IF(COUNT(P29,X29)&lt;2,"",X29-P29)</x:f>
        <x:v>124214.88000000012</x:v>
      </x:c>
      <x:c r="AI29" s="30" t="n">
        <x:f>IF(OR(P29="",P29=0,AH29=""),"",AH29/ABS(P29))</x:f>
        <x:v>0.11322851634156667</x:v>
      </x:c>
      <x:c r="AJ29" s="26" t="n">
        <x:f>IF(COUNT(U29,AC29)&lt;2,"",AC29-U29)</x:f>
        <x:v>80690.42999999993</x:v>
      </x:c>
      <x:c r="AK29" s="30" t="n">
        <x:f>IF(OR(U29="",U29=0,AJ29=""),"",AJ29/ABS(U29))</x:f>
        <x:v>0.1154606593903228</x:v>
      </x:c>
      <x:c r="AL29" s="26" t="n">
        <x:f>IF(COUNT(V29,AD29)&lt;2,"",AD29-V29)</x:f>
        <x:v>43524.450000000186</x:v>
      </x:c>
      <x:c r="AM29" s="30" t="n">
        <x:f>IF(OR(V29="",V29=0,AL29=""),"",AL29/ABS(V29))</x:f>
        <x:v>0.10931074067131276</x:v>
      </x:c>
      <x:c r="AN29" s="26" t="n">
        <x:f>IF(OR(W29="",AE29=""),"",(AE29-W29)*100)</x:f>
        <x:v>-0.1277344050798157</x:v>
      </x:c>
      <x:c r="AO29" s="26" t="n">
        <x:f>IF(COUNT(F29,G29,H29)&lt;3,"",(G29-F29)*H29)</x:f>
        <x:v>121060.50000000001</x:v>
      </x:c>
      <x:c r="AP29" s="26" t="n">
        <x:f>IF(COUNT(G29,H29,I29)&lt;3,"",G29*(I29-H29))</x:f>
        <x:v>3154.3799999999624</x:v>
      </x:c>
    </x:row>
    <x:row r="30">
      <x:c r="A30" s="23" t="str">
        <x:v>2025-01</x:v>
      </x:c>
      <x:c r="B30" s="21" t="str">
        <x:v>Automotive Sensors</x:v>
      </x:c>
      <x:c r="C30" s="21" t="str">
        <x:v>EUR</x:v>
      </x:c>
      <x:c r="D30" s="21" t="str">
        <x:v>Synthetic Data</x:v>
      </x:c>
      <x:c r="E30" s="21" t="str">
        <x:v>Simulated Company</x:v>
      </x:c>
      <x:c r="F30" s="24" t="n">
        <x:v>13800</x:v>
      </x:c>
      <x:c r="G30" s="24" t="n">
        <x:v>14093</x:v>
      </x:c>
      <x:c r="H30" s="25" t="n">
        <x:v>48</x:v>
      </x:c>
      <x:c r="I30" s="25" t="n">
        <x:v>47.81</x:v>
      </x:c>
      <x:c r="J30" s="25" t="n">
        <x:v>17</x:v>
      </x:c>
      <x:c r="K30" s="25" t="n">
        <x:v>16.95</x:v>
      </x:c>
      <x:c r="L30" s="25" t="n">
        <x:v>8</x:v>
      </x:c>
      <x:c r="M30" s="25" t="n">
        <x:v>8.12</x:v>
      </x:c>
      <x:c r="N30" s="25" t="n">
        <x:v>7</x:v>
      </x:c>
      <x:c r="O30" s="25" t="n">
        <x:v>7.04</x:v>
      </x:c>
      <x:c r="P30" s="26" t="n">
        <x:f>IF(COUNT(F30,H30)&lt;2,"",F30*H30)</x:f>
        <x:v>662400</x:v>
      </x:c>
      <x:c r="Q30" s="26" t="n">
        <x:f>IF(COUNT(J30,L30,N30)&lt;3,"",SUM(J30,L30,N30))</x:f>
        <x:v>32</x:v>
      </x:c>
      <x:c r="R30" s="26" t="n">
        <x:f>IF(COUNT(F30,J30)&lt;2,"",F30*J30)</x:f>
        <x:v>234600</x:v>
      </x:c>
      <x:c r="S30" s="26" t="n">
        <x:f>IF(COUNT(F30,L30)&lt;2,"",F30*L30)</x:f>
        <x:v>110400</x:v>
      </x:c>
      <x:c r="T30" s="21" t="n">
        <x:f>IF(COUNT(F30,N30)&lt;2,"",F30*N30)</x:f>
        <x:v>96600</x:v>
      </x:c>
      <x:c r="U30" s="26" t="n">
        <x:f>IF(COUNT(R30:T30)&lt;3,"",SUM(R30:T30))</x:f>
        <x:v>441600</x:v>
      </x:c>
      <x:c r="V30" s="26" t="n">
        <x:f>IF(COUNT(P30,U30)&lt;2,"",P30-U30)</x:f>
        <x:v>220800</x:v>
      </x:c>
      <x:c r="W30" s="28" t="n">
        <x:f>IF(OR(P30="",P30=0,V30=""),"",V30/P30)</x:f>
        <x:v>0.3333333333333333</x:v>
      </x:c>
      <x:c r="X30" s="26" t="n">
        <x:f>IF(COUNT(G30,I30)&lt;2,"",G30*I30)</x:f>
        <x:v>673786.3300000001</x:v>
      </x:c>
      <x:c r="Y30" s="26" t="n">
        <x:f>IF(COUNT(K30,M30,O30)&lt;3,"",SUM(K30,M30,O30))</x:f>
        <x:v>32.11</x:v>
      </x:c>
      <x:c r="Z30" s="26" t="n">
        <x:f>IF(COUNT(G30,K30)&lt;2,"",G30*K30)</x:f>
        <x:v>238876.34999999998</x:v>
      </x:c>
      <x:c r="AA30" s="26" t="n">
        <x:f>IF(COUNT(G30,M30)&lt;2,"",G30*M30)</x:f>
        <x:v>114435.15999999999</x:v>
      </x:c>
      <x:c r="AB30" s="21" t="n">
        <x:f>IF(COUNT(G30,O30)&lt;2,"",G30*O30)</x:f>
        <x:v>99214.72</x:v>
      </x:c>
      <x:c r="AC30" s="26" t="n">
        <x:f>IF(COUNT(Z30:AB30)&lt;3,"",SUM(Z30:AB30))</x:f>
        <x:v>452526.23</x:v>
      </x:c>
      <x:c r="AD30" s="26" t="n">
        <x:f>IF(COUNT(X30,AC30)&lt;2,"",X30-AC30)</x:f>
        <x:v>221260.1000000001</x:v>
      </x:c>
      <x:c r="AE30" s="28" t="n">
        <x:f>IF(OR(X30="",X30=0,AD30=""),"",AD30/X30)</x:f>
        <x:v>0.32838318343442807</x:v>
      </x:c>
      <x:c r="AF30" s="29" t="n">
        <x:f>IF(COUNT(F30,G30)&lt;2,"",G30-F30)</x:f>
        <x:v>293</x:v>
      </x:c>
      <x:c r="AG30" s="30" t="n">
        <x:f>IF(OR(F30="",F30=0,AF30=""),"",AF30/ABS(F30))</x:f>
        <x:v>0.021231884057971013</x:v>
      </x:c>
      <x:c r="AH30" s="26" t="n">
        <x:f>IF(COUNT(P30,X30)&lt;2,"",X30-P30)</x:f>
        <x:v>11386.330000000075</x:v>
      </x:c>
      <x:c r="AI30" s="30" t="n">
        <x:f>IF(OR(P30="",P30=0,AH30=""),"",AH30/ABS(P30))</x:f>
        <x:v>0.017189507850241658</x:v>
      </x:c>
      <x:c r="AJ30" s="26" t="n">
        <x:f>IF(COUNT(U30,AC30)&lt;2,"",AC30-U30)</x:f>
        <x:v>10926.229999999981</x:v>
      </x:c>
      <x:c r="AK30" s="30" t="n">
        <x:f>IF(OR(U30="",U30=0,AJ30=""),"",AJ30/ABS(U30))</x:f>
        <x:v>0.02474236865942025</x:v>
      </x:c>
      <x:c r="AL30" s="26" t="n">
        <x:f>IF(COUNT(V30,AD30)&lt;2,"",AD30-V30)</x:f>
        <x:v>460.10000000009313</x:v>
      </x:c>
      <x:c r="AM30" s="30" t="n">
        <x:f>IF(OR(V30="",V30=0,AL30=""),"",AL30/ABS(V30))</x:f>
        <x:v>0.0020837862318844797</x:v>
      </x:c>
      <x:c r="AN30" s="26" t="n">
        <x:f>IF(OR(W30="",AE30=""),"",(AE30-W30)*100)</x:f>
        <x:v>-0.4950149898905243</x:v>
      </x:c>
      <x:c r="AO30" s="26" t="n">
        <x:f>IF(COUNT(F30,G30,H30)&lt;3,"",(G30-F30)*H30)</x:f>
        <x:v>14064</x:v>
      </x:c>
      <x:c r="AP30" s="26" t="n">
        <x:f>IF(COUNT(G30,H30,I30)&lt;3,"",G30*(I30-H30))</x:f>
        <x:v>-2677.669999999968</x:v>
      </x:c>
    </x:row>
    <x:row r="31">
      <x:c r="A31" s="23" t="str">
        <x:v>2025-02</x:v>
      </x:c>
      <x:c r="B31" s="21" t="str">
        <x:v>Automotive Sensors</x:v>
      </x:c>
      <x:c r="C31" s="21" t="str">
        <x:v>EUR</x:v>
      </x:c>
      <x:c r="D31" s="21" t="str">
        <x:v>Synthetic Data</x:v>
      </x:c>
      <x:c r="E31" s="21" t="str">
        <x:v>Simulated Company</x:v>
      </x:c>
      <x:c r="F31" s="24" t="n">
        <x:v>14266</x:v>
      </x:c>
      <x:c r="G31" s="24" t="n">
        <x:v>14205</x:v>
      </x:c>
      <x:c r="H31" s="25" t="n">
        <x:v>48.05</x:v>
      </x:c>
      <x:c r="I31" s="25" t="n">
        <x:v>47.68</x:v>
      </x:c>
      <x:c r="J31" s="25" t="n">
        <x:v>17.02</x:v>
      </x:c>
      <x:c r="K31" s="25" t="n">
        <x:v>17.14</x:v>
      </x:c>
      <x:c r="L31" s="25" t="n">
        <x:v>8.01</x:v>
      </x:c>
      <x:c r="M31" s="25" t="n">
        <x:v>8.17</x:v>
      </x:c>
      <x:c r="N31" s="25" t="n">
        <x:v>7.01</x:v>
      </x:c>
      <x:c r="O31" s="25" t="n">
        <x:v>7.18</x:v>
      </x:c>
      <x:c r="P31" s="26" t="n">
        <x:f>IF(COUNT(F31,H31)&lt;2,"",F31*H31)</x:f>
        <x:v>685481.2999999999</x:v>
      </x:c>
      <x:c r="Q31" s="26" t="n">
        <x:f>IF(COUNT(J31,L31,N31)&lt;3,"",SUM(J31,L31,N31))</x:f>
        <x:v>32.04</x:v>
      </x:c>
      <x:c r="R31" s="26" t="n">
        <x:f>IF(COUNT(F31,J31)&lt;2,"",F31*J31)</x:f>
        <x:v>242807.32</x:v>
      </x:c>
      <x:c r="S31" s="26" t="n">
        <x:f>IF(COUNT(F31,L31)&lt;2,"",F31*L31)</x:f>
        <x:v>114270.66</x:v>
      </x:c>
      <x:c r="T31" s="21" t="n">
        <x:f>IF(COUNT(F31,N31)&lt;2,"",F31*N31)</x:f>
        <x:v>100004.66</x:v>
      </x:c>
      <x:c r="U31" s="26" t="n">
        <x:f>IF(COUNT(R31:T31)&lt;3,"",SUM(R31:T31))</x:f>
        <x:v>457082.64</x:v>
      </x:c>
      <x:c r="V31" s="26" t="n">
        <x:f>IF(COUNT(P31,U31)&lt;2,"",P31-U31)</x:f>
        <x:v>228398.65999999992</x:v>
      </x:c>
      <x:c r="W31" s="28" t="n">
        <x:f>IF(OR(P31="",P31=0,V31=""),"",V31/P31)</x:f>
        <x:v>0.333194588969823</x:v>
      </x:c>
      <x:c r="X31" s="26" t="n">
        <x:f>IF(COUNT(G31,I31)&lt;2,"",G31*I31)</x:f>
        <x:v>677294.4</x:v>
      </x:c>
      <x:c r="Y31" s="26" t="n">
        <x:f>IF(COUNT(K31,M31,O31)&lt;3,"",SUM(K31,M31,O31))</x:f>
        <x:v>32.49</x:v>
      </x:c>
      <x:c r="Z31" s="26" t="n">
        <x:f>IF(COUNT(G31,K31)&lt;2,"",G31*K31)</x:f>
        <x:v>243473.7</x:v>
      </x:c>
      <x:c r="AA31" s="26" t="n">
        <x:f>IF(COUNT(G31,M31)&lt;2,"",G31*M31)</x:f>
        <x:v>116054.85</x:v>
      </x:c>
      <x:c r="AB31" s="21" t="n">
        <x:f>IF(COUNT(G31,O31)&lt;2,"",G31*O31)</x:f>
        <x:v>101991.9</x:v>
      </x:c>
      <x:c r="AC31" s="26" t="n">
        <x:f>IF(COUNT(Z31:AB31)&lt;3,"",SUM(Z31:AB31))</x:f>
        <x:v>461520.45000000007</x:v>
      </x:c>
      <x:c r="AD31" s="26" t="n">
        <x:f>IF(COUNT(X31,AC31)&lt;2,"",X31-AC31)</x:f>
        <x:v>215773.94999999995</x:v>
      </x:c>
      <x:c r="AE31" s="28" t="n">
        <x:f>IF(OR(X31="",X31=0,AD31=""),"",AD31/X31)</x:f>
        <x:v>0.31858221476510057</x:v>
      </x:c>
      <x:c r="AF31" s="29" t="n">
        <x:f>IF(COUNT(F31,G31)&lt;2,"",G31-F31)</x:f>
        <x:v>-61</x:v>
      </x:c>
      <x:c r="AG31" s="30" t="n">
        <x:f>IF(OR(F31="",F31=0,AF31=""),"",AF31/ABS(F31))</x:f>
        <x:v>-0.004275900743025375</x:v>
      </x:c>
      <x:c r="AH31" s="26" t="n">
        <x:f>IF(COUNT(P31,X31)&lt;2,"",X31-P31)</x:f>
        <x:v>-8186.899999999907</x:v>
      </x:c>
      <x:c r="AI31" s="30" t="n">
        <x:f>IF(OR(P31="",P31=0,AH31=""),"",AH31/ABS(P31))</x:f>
        <x:v>-0.011943287147293306</x:v>
      </x:c>
      <x:c r="AJ31" s="26" t="n">
        <x:f>IF(COUNT(U31,AC31)&lt;2,"",AC31-U31)</x:f>
        <x:v>4437.810000000056</x:v>
      </x:c>
      <x:c r="AK31" s="30" t="n">
        <x:f>IF(OR(U31="",U31=0,AJ31=""),"",AJ31/ABS(U31))</x:f>
        <x:v>0.009708988291482817</x:v>
      </x:c>
      <x:c r="AL31" s="26" t="n">
        <x:f>IF(COUNT(V31,AD31)&lt;2,"",AD31-V31)</x:f>
        <x:v>-12624.709999999963</x:v>
      </x:c>
      <x:c r="AM31" s="30" t="n">
        <x:f>IF(OR(V31="",V31=0,AL31=""),"",AL31/ABS(V31))</x:f>
        <x:v>-0.05527488646386965</x:v>
      </x:c>
      <x:c r="AN31" s="26" t="n">
        <x:f>IF(OR(W31="",AE31=""),"",(AE31-W31)*100)</x:f>
        <x:v>-1.4612374204722445</x:v>
      </x:c>
      <x:c r="AO31" s="26" t="n">
        <x:f>IF(COUNT(F31,G31,H31)&lt;3,"",(G31-F31)*H31)</x:f>
        <x:v>-2931.0499999999997</x:v>
      </x:c>
      <x:c r="AP31" s="26" t="n">
        <x:f>IF(COUNT(G31,H31,I31)&lt;3,"",G31*(I31-H31))</x:f>
        <x:v>-5255.849999999964</x:v>
      </x:c>
    </x:row>
    <x:row r="32">
      <x:c r="A32" s="23" t="str">
        <x:v>2025-03</x:v>
      </x:c>
      <x:c r="B32" s="21" t="str">
        <x:v>Automotive Sensors</x:v>
      </x:c>
      <x:c r="C32" s="21" t="str">
        <x:v>EUR</x:v>
      </x:c>
      <x:c r="D32" s="21" t="str">
        <x:v>Synthetic Data</x:v>
      </x:c>
      <x:c r="E32" s="21" t="str">
        <x:v>Simulated Company</x:v>
      </x:c>
      <x:c r="F32" s="24" t="n">
        <x:v>15033</x:v>
      </x:c>
      <x:c r="G32" s="24" t="n">
        <x:v>15250</x:v>
      </x:c>
      <x:c r="H32" s="25" t="n">
        <x:v>48.1</x:v>
      </x:c>
      <x:c r="I32" s="25" t="n">
        <x:v>47.83</x:v>
      </x:c>
      <x:c r="J32" s="25" t="n">
        <x:v>17.05</x:v>
      </x:c>
      <x:c r="K32" s="25" t="n">
        <x:v>17.32</x:v>
      </x:c>
      <x:c r="L32" s="25" t="n">
        <x:v>8.03</x:v>
      </x:c>
      <x:c r="M32" s="25" t="n">
        <x:v>8.16</x:v>
      </x:c>
      <x:c r="N32" s="25" t="n">
        <x:v>7.02</x:v>
      </x:c>
      <x:c r="O32" s="25" t="n">
        <x:v>7.04</x:v>
      </x:c>
      <x:c r="P32" s="26" t="n">
        <x:f>IF(COUNT(F32,H32)&lt;2,"",F32*H32)</x:f>
        <x:v>723087.3</x:v>
      </x:c>
      <x:c r="Q32" s="26" t="n">
        <x:f>IF(COUNT(J32,L32,N32)&lt;3,"",SUM(J32,L32,N32))</x:f>
        <x:v>32.099999999999994</x:v>
      </x:c>
      <x:c r="R32" s="26" t="n">
        <x:f>IF(COUNT(F32,J32)&lt;2,"",F32*J32)</x:f>
        <x:v>256312.65000000002</x:v>
      </x:c>
      <x:c r="S32" s="26" t="n">
        <x:f>IF(COUNT(F32,L32)&lt;2,"",F32*L32)</x:f>
        <x:v>120714.98999999999</x:v>
      </x:c>
      <x:c r="T32" s="21" t="n">
        <x:f>IF(COUNT(F32,N32)&lt;2,"",F32*N32)</x:f>
        <x:v>105531.65999999999</x:v>
      </x:c>
      <x:c r="U32" s="26" t="n">
        <x:f>IF(COUNT(R32:T32)&lt;3,"",SUM(R32:T32))</x:f>
        <x:v>482559.3</x:v>
      </x:c>
      <x:c r="V32" s="26" t="n">
        <x:f>IF(COUNT(P32,U32)&lt;2,"",P32-U32)</x:f>
        <x:v>240528.00000000006</x:v>
      </x:c>
      <x:c r="W32" s="28" t="n">
        <x:f>IF(OR(P32="",P32=0,V32=""),"",V32/P32)</x:f>
        <x:v>0.3326403326403327</x:v>
      </x:c>
      <x:c r="X32" s="26" t="n">
        <x:f>IF(COUNT(G32,I32)&lt;2,"",G32*I32)</x:f>
        <x:v>729407.5</x:v>
      </x:c>
      <x:c r="Y32" s="26" t="n">
        <x:f>IF(COUNT(K32,M32,O32)&lt;3,"",SUM(K32,M32,O32))</x:f>
        <x:v>32.52</x:v>
      </x:c>
      <x:c r="Z32" s="26" t="n">
        <x:f>IF(COUNT(G32,K32)&lt;2,"",G32*K32)</x:f>
        <x:v>264130</x:v>
      </x:c>
      <x:c r="AA32" s="26" t="n">
        <x:f>IF(COUNT(G32,M32)&lt;2,"",G32*M32)</x:f>
        <x:v>124440</x:v>
      </x:c>
      <x:c r="AB32" s="21" t="n">
        <x:f>IF(COUNT(G32,O32)&lt;2,"",G32*O32)</x:f>
        <x:v>107360</x:v>
      </x:c>
      <x:c r="AC32" s="26" t="n">
        <x:f>IF(COUNT(Z32:AB32)&lt;3,"",SUM(Z32:AB32))</x:f>
        <x:v>495930</x:v>
      </x:c>
      <x:c r="AD32" s="26" t="n">
        <x:f>IF(COUNT(X32,AC32)&lt;2,"",X32-AC32)</x:f>
        <x:v>233477.5</x:v>
      </x:c>
      <x:c r="AE32" s="28" t="n">
        <x:f>IF(OR(X32="",X32=0,AD32=""),"",AD32/X32)</x:f>
        <x:v>0.3200919924733431</x:v>
      </x:c>
      <x:c r="AF32" s="29" t="n">
        <x:f>IF(COUNT(F32,G32)&lt;2,"",G32-F32)</x:f>
        <x:v>217</x:v>
      </x:c>
      <x:c r="AG32" s="30" t="n">
        <x:f>IF(OR(F32="",F32=0,AF32=""),"",AF32/ABS(F32))</x:f>
        <x:v>0.014434909864963746</x:v>
      </x:c>
      <x:c r="AH32" s="26" t="n">
        <x:f>IF(COUNT(P32,X32)&lt;2,"",X32-P32)</x:f>
        <x:v>6320.199999999953</x:v>
      </x:c>
      <x:c r="AI32" s="30" t="n">
        <x:f>IF(OR(P32="",P32=0,AH32=""),"",AH32/ABS(P32))</x:f>
        <x:v>0.008740576691085506</x:v>
      </x:c>
      <x:c r="AJ32" s="26" t="n">
        <x:f>IF(COUNT(U32,AC32)&lt;2,"",AC32-U32)</x:f>
        <x:v>13370.700000000012</x:v>
      </x:c>
      <x:c r="AK32" s="30" t="n">
        <x:f>IF(OR(U32="",U32=0,AJ32=""),"",AJ32/ABS(U32))</x:f>
        <x:v>0.027707889994038063</x:v>
      </x:c>
      <x:c r="AL32" s="26" t="n">
        <x:f>IF(COUNT(V32,AD32)&lt;2,"",AD32-V32)</x:f>
        <x:v>-7050.500000000058</x:v>
      </x:c>
      <x:c r="AM32" s="30" t="n">
        <x:f>IF(OR(V32="",V32=0,AL32=""),"",AL32/ABS(V32))</x:f>
        <x:v>-0.02931259562296305</x:v>
      </x:c>
      <x:c r="AN32" s="26" t="n">
        <x:f>IF(OR(W32="",AE32=""),"",(AE32-W32)*100)</x:f>
        <x:v>-1.2548340166989636</x:v>
      </x:c>
      <x:c r="AO32" s="26" t="n">
        <x:f>IF(COUNT(F32,G32,H32)&lt;3,"",(G32-F32)*H32)</x:f>
        <x:v>10437.7</x:v>
      </x:c>
      <x:c r="AP32" s="26" t="n">
        <x:f>IF(COUNT(G32,H32,I32)&lt;3,"",G32*(I32-H32))</x:f>
        <x:v>-4117.500000000047</x:v>
      </x:c>
    </x:row>
    <x:row r="33">
      <x:c r="A33" s="23" t="str">
        <x:v>2025-04</x:v>
      </x:c>
      <x:c r="B33" s="21" t="str">
        <x:v>Automotive Sensors</x:v>
      </x:c>
      <x:c r="C33" s="21" t="str">
        <x:v>EUR</x:v>
      </x:c>
      <x:c r="D33" s="21" t="str">
        <x:v>Synthetic Data</x:v>
      </x:c>
      <x:c r="E33" s="21" t="str">
        <x:v>Simulated Company</x:v>
      </x:c>
      <x:c r="F33" s="24" t="n">
        <x:v>15501</x:v>
      </x:c>
      <x:c r="G33" s="24" t="n">
        <x:v>15528</x:v>
      </x:c>
      <x:c r="H33" s="25" t="n">
        <x:v>48.16</x:v>
      </x:c>
      <x:c r="I33" s="25" t="n">
        <x:v>47.74</x:v>
      </x:c>
      <x:c r="J33" s="25" t="n">
        <x:v>17.07</x:v>
      </x:c>
      <x:c r="K33" s="25" t="n">
        <x:v>17.34</x:v>
      </x:c>
      <x:c r="L33" s="25" t="n">
        <x:v>8.04</x:v>
      </x:c>
      <x:c r="M33" s="25" t="n">
        <x:v>8.18</x:v>
      </x:c>
      <x:c r="N33" s="25" t="n">
        <x:v>7.02</x:v>
      </x:c>
      <x:c r="O33" s="25" t="n">
        <x:v>7.16</x:v>
      </x:c>
      <x:c r="P33" s="26" t="n">
        <x:f>IF(COUNT(F33,H33)&lt;2,"",F33*H33)</x:f>
        <x:v>746528.1599999999</x:v>
      </x:c>
      <x:c r="Q33" s="26" t="n">
        <x:f>IF(COUNT(J33,L33,N33)&lt;3,"",SUM(J33,L33,N33))</x:f>
        <x:v>32.129999999999995</x:v>
      </x:c>
      <x:c r="R33" s="26" t="n">
        <x:f>IF(COUNT(F33,J33)&lt;2,"",F33*J33)</x:f>
        <x:v>264602.07</x:v>
      </x:c>
      <x:c r="S33" s="26" t="n">
        <x:f>IF(COUNT(F33,L33)&lt;2,"",F33*L33)</x:f>
        <x:v>124628.04</x:v>
      </x:c>
      <x:c r="T33" s="21" t="n">
        <x:f>IF(COUNT(F33,N33)&lt;2,"",F33*N33)</x:f>
        <x:v>108817.01999999999</x:v>
      </x:c>
      <x:c r="U33" s="26" t="n">
        <x:f>IF(COUNT(R33:T33)&lt;3,"",SUM(R33:T33))</x:f>
        <x:v>498047.13</x:v>
      </x:c>
      <x:c r="V33" s="26" t="n">
        <x:f>IF(COUNT(P33,U33)&lt;2,"",P33-U33)</x:f>
        <x:v>248481.0299999999</x:v>
      </x:c>
      <x:c r="W33" s="28" t="n">
        <x:f>IF(OR(P33="",P33=0,V33=""),"",V33/P33)</x:f>
        <x:v>0.33284883720930225</x:v>
      </x:c>
      <x:c r="X33" s="26" t="n">
        <x:f>IF(COUNT(G33,I33)&lt;2,"",G33*I33)</x:f>
        <x:v>741306.7200000001</x:v>
      </x:c>
      <x:c r="Y33" s="26" t="n">
        <x:f>IF(COUNT(K33,M33,O33)&lt;3,"",SUM(K33,M33,O33))</x:f>
        <x:v>32.68</x:v>
      </x:c>
      <x:c r="Z33" s="26" t="n">
        <x:f>IF(COUNT(G33,K33)&lt;2,"",G33*K33)</x:f>
        <x:v>269255.52</x:v>
      </x:c>
      <x:c r="AA33" s="26" t="n">
        <x:f>IF(COUNT(G33,M33)&lt;2,"",G33*M33)</x:f>
        <x:v>127019.04</x:v>
      </x:c>
      <x:c r="AB33" s="21" t="n">
        <x:f>IF(COUNT(G33,O33)&lt;2,"",G33*O33)</x:f>
        <x:v>111180.48</x:v>
      </x:c>
      <x:c r="AC33" s="26" t="n">
        <x:f>IF(COUNT(Z33:AB33)&lt;3,"",SUM(Z33:AB33))</x:f>
        <x:v>507455.04</x:v>
      </x:c>
      <x:c r="AD33" s="26" t="n">
        <x:f>IF(COUNT(X33,AC33)&lt;2,"",X33-AC33)</x:f>
        <x:v>233851.6800000001</x:v>
      </x:c>
      <x:c r="AE33" s="28" t="n">
        <x:f>IF(OR(X33="",X33=0,AD33=""),"",AD33/X33)</x:f>
        <x:v>0.3154587348135736</x:v>
      </x:c>
      <x:c r="AF33" s="29" t="n">
        <x:f>IF(COUNT(F33,G33)&lt;2,"",G33-F33)</x:f>
        <x:v>27</x:v>
      </x:c>
      <x:c r="AG33" s="30" t="n">
        <x:f>IF(OR(F33="",F33=0,AF33=""),"",AF33/ABS(F33))</x:f>
        <x:v>0.0017418231081865686</x:v>
      </x:c>
      <x:c r="AH33" s="26" t="n">
        <x:f>IF(COUNT(P33,X33)&lt;2,"",X33-P33)</x:f>
        <x:v>-5221.439999999828</x:v>
      </x:c>
      <x:c r="AI33" s="30" t="n">
        <x:f>IF(OR(P33="",P33=0,AH33=""),"",AH33/ABS(P33))</x:f>
        <x:v>-0.006994297442175294</x:v>
      </x:c>
      <x:c r="AJ33" s="26" t="n">
        <x:f>IF(COUNT(U33,AC33)&lt;2,"",AC33-U33)</x:f>
        <x:v>9407.909999999974</x:v>
      </x:c>
      <x:c r="AK33" s="30" t="n">
        <x:f>IF(OR(U33="",U33=0,AJ33=""),"",AJ33/ABS(U33))</x:f>
        <x:v>0.01888959785793761</x:v>
      </x:c>
      <x:c r="AL33" s="26" t="n">
        <x:f>IF(COUNT(V33,AD33)&lt;2,"",AD33-V33)</x:f>
        <x:v>-14629.349999999802</x:v>
      </x:c>
      <x:c r="AM33" s="30" t="n">
        <x:f>IF(OR(V33="",V33=0,AL33=""),"",AL33/ABS(V33))</x:f>
        <x:v>-0.05887511815288196</x:v>
      </x:c>
      <x:c r="AN33" s="26" t="n">
        <x:f>IF(OR(W33="",AE33=""),"",(AE33-W33)*100)</x:f>
        <x:v>-1.7390102395728635</x:v>
      </x:c>
      <x:c r="AO33" s="26" t="n">
        <x:f>IF(COUNT(F33,G33,H33)&lt;3,"",(G33-F33)*H33)</x:f>
        <x:v>1300.32</x:v>
      </x:c>
      <x:c r="AP33" s="26" t="n">
        <x:f>IF(COUNT(G33,H33,I33)&lt;3,"",G33*(I33-H33))</x:f>
        <x:v>-6521.7599999999165</x:v>
      </x:c>
    </x:row>
    <x:row r="34">
      <x:c r="A34" s="23" t="str">
        <x:v>2025-05</x:v>
      </x:c>
      <x:c r="B34" s="21" t="str">
        <x:v>Automotive Sensors</x:v>
      </x:c>
      <x:c r="C34" s="21" t="str">
        <x:v>EUR</x:v>
      </x:c>
      <x:c r="D34" s="21" t="str">
        <x:v>Synthetic Data</x:v>
      </x:c>
      <x:c r="E34" s="21" t="str">
        <x:v>Simulated Company</x:v>
      </x:c>
      <x:c r="F34" s="24" t="n">
        <x:v>15819</x:v>
      </x:c>
      <x:c r="G34" s="24" t="n">
        <x:v>15307</x:v>
      </x:c>
      <x:c r="H34" s="25" t="n">
        <x:v>48.21</x:v>
      </x:c>
      <x:c r="I34" s="25" t="n">
        <x:v>47.69</x:v>
      </x:c>
      <x:c r="J34" s="25" t="n">
        <x:v>17.1</x:v>
      </x:c>
      <x:c r="K34" s="25" t="n">
        <x:v>17.76</x:v>
      </x:c>
      <x:c r="L34" s="25" t="n">
        <x:v>8.06</x:v>
      </x:c>
      <x:c r="M34" s="25" t="n">
        <x:v>8.23</x:v>
      </x:c>
      <x:c r="N34" s="25" t="n">
        <x:v>7.03</x:v>
      </x:c>
      <x:c r="O34" s="25" t="n">
        <x:v>7.17</x:v>
      </x:c>
      <x:c r="P34" s="26" t="n">
        <x:f>IF(COUNT(F34,H34)&lt;2,"",F34*H34)</x:f>
        <x:v>762633.99</x:v>
      </x:c>
      <x:c r="Q34" s="26" t="n">
        <x:f>IF(COUNT(J34,L34,N34)&lt;3,"",SUM(J34,L34,N34))</x:f>
        <x:v>32.190000000000005</x:v>
      </x:c>
      <x:c r="R34" s="26" t="n">
        <x:f>IF(COUNT(F34,J34)&lt;2,"",F34*J34)</x:f>
        <x:v>270504.9</x:v>
      </x:c>
      <x:c r="S34" s="26" t="n">
        <x:f>IF(COUNT(F34,L34)&lt;2,"",F34*L34)</x:f>
        <x:v>127501.14000000001</x:v>
      </x:c>
      <x:c r="T34" s="21" t="n">
        <x:f>IF(COUNT(F34,N34)&lt;2,"",F34*N34)</x:f>
        <x:v>111207.57</x:v>
      </x:c>
      <x:c r="U34" s="26" t="n">
        <x:f>IF(COUNT(R34:T34)&lt;3,"",SUM(R34:T34))</x:f>
        <x:v>509213.61000000004</x:v>
      </x:c>
      <x:c r="V34" s="26" t="n">
        <x:f>IF(COUNT(P34,U34)&lt;2,"",P34-U34)</x:f>
        <x:v>253420.37999999995</x:v>
      </x:c>
      <x:c r="W34" s="28" t="n">
        <x:f>IF(OR(P34="",P34=0,V34=""),"",V34/P34)</x:f>
        <x:v>0.33229620410703165</x:v>
      </x:c>
      <x:c r="X34" s="26" t="n">
        <x:f>IF(COUNT(G34,I34)&lt;2,"",G34*I34)</x:f>
        <x:v>729990.83</x:v>
      </x:c>
      <x:c r="Y34" s="26" t="n">
        <x:f>IF(COUNT(K34,M34,O34)&lt;3,"",SUM(K34,M34,O34))</x:f>
        <x:v>33.160000000000004</x:v>
      </x:c>
      <x:c r="Z34" s="26" t="n">
        <x:f>IF(COUNT(G34,K34)&lt;2,"",G34*K34)</x:f>
        <x:v>271852.32</x:v>
      </x:c>
      <x:c r="AA34" s="26" t="n">
        <x:f>IF(COUNT(G34,M34)&lt;2,"",G34*M34)</x:f>
        <x:v>125976.61</x:v>
      </x:c>
      <x:c r="AB34" s="21" t="n">
        <x:f>IF(COUNT(G34,O34)&lt;2,"",G34*O34)</x:f>
        <x:v>109751.19</x:v>
      </x:c>
      <x:c r="AC34" s="26" t="n">
        <x:f>IF(COUNT(Z34:AB34)&lt;3,"",SUM(Z34:AB34))</x:f>
        <x:v>507580.12</x:v>
      </x:c>
      <x:c r="AD34" s="26" t="n">
        <x:f>IF(COUNT(X34,AC34)&lt;2,"",X34-AC34)</x:f>
        <x:v>222410.70999999996</x:v>
      </x:c>
      <x:c r="AE34" s="28" t="n">
        <x:f>IF(OR(X34="",X34=0,AD34=""),"",AD34/X34)</x:f>
        <x:v>0.3046760327112602</x:v>
      </x:c>
      <x:c r="AF34" s="29" t="n">
        <x:f>IF(COUNT(F34,G34)&lt;2,"",G34-F34)</x:f>
        <x:v>-512</x:v>
      </x:c>
      <x:c r="AG34" s="30" t="n">
        <x:f>IF(OR(F34="",F34=0,AF34=""),"",AF34/ABS(F34))</x:f>
        <x:v>-0.032366141981161896</x:v>
      </x:c>
      <x:c r="AH34" s="26" t="n">
        <x:f>IF(COUNT(P34,X34)&lt;2,"",X34-P34)</x:f>
        <x:v>-32643.160000000033</x:v>
      </x:c>
      <x:c r="AI34" s="30" t="n">
        <x:f>IF(OR(P34="",P34=0,AH34=""),"",AH34/ABS(P34))</x:f>
        <x:v>-0.04280318006806913</x:v>
      </x:c>
      <x:c r="AJ34" s="26" t="n">
        <x:f>IF(COUNT(U34,AC34)&lt;2,"",AC34-U34)</x:f>
        <x:v>-1633.490000000049</x:v>
      </x:c>
      <x:c r="AK34" s="30" t="n">
        <x:f>IF(OR(U34="",U34=0,AJ34=""),"",AJ34/ABS(U34))</x:f>
        <x:v>-0.0032078679122501236</x:v>
      </x:c>
      <x:c r="AL34" s="26" t="n">
        <x:f>IF(COUNT(V34,AD34)&lt;2,"",AD34-V34)</x:f>
        <x:v>-31009.669999999984</x:v>
      </x:c>
      <x:c r="AM34" s="30" t="n">
        <x:f>IF(OR(V34="",V34=0,AL34=""),"",AL34/ABS(V34))</x:f>
        <x:v>-0.122364547002889</x:v>
      </x:c>
      <x:c r="AN34" s="26" t="n">
        <x:f>IF(OR(W34="",AE34=""),"",(AE34-W34)*100)</x:f>
        <x:v>-2.7620171395771442</x:v>
      </x:c>
      <x:c r="AO34" s="26" t="n">
        <x:f>IF(COUNT(F34,G34,H34)&lt;3,"",(G34-F34)*H34)</x:f>
        <x:v>-24683.52</x:v>
      </x:c>
      <x:c r="AP34" s="26" t="n">
        <x:f>IF(COUNT(G34,H34,I34)&lt;3,"",G34*(I34-H34))</x:f>
        <x:v>-7959.640000000048</x:v>
      </x:c>
    </x:row>
    <x:row r="35">
      <x:c r="A35" s="23" t="str">
        <x:v>2025-06</x:v>
      </x:c>
      <x:c r="B35" s="21" t="str">
        <x:v>Automotive Sensors</x:v>
      </x:c>
      <x:c r="C35" s="21" t="str">
        <x:v>EUR</x:v>
      </x:c>
      <x:c r="D35" s="21" t="str">
        <x:v>Synthetic Data</x:v>
      </x:c>
      <x:c r="E35" s="21" t="str">
        <x:v>Simulated Company</x:v>
      </x:c>
      <x:c r="F35" s="24" t="n">
        <x:v>15987</x:v>
      </x:c>
      <x:c r="G35" s="24" t="n">
        <x:v>15842</x:v>
      </x:c>
      <x:c r="H35" s="25" t="n">
        <x:v>48.26</x:v>
      </x:c>
      <x:c r="I35" s="25" t="n">
        <x:v>47.74</x:v>
      </x:c>
      <x:c r="J35" s="25" t="n">
        <x:v>17.12</x:v>
      </x:c>
      <x:c r="K35" s="25" t="n">
        <x:v>17.78</x:v>
      </x:c>
      <x:c r="L35" s="25" t="n">
        <x:v>8.07</x:v>
      </x:c>
      <x:c r="M35" s="25" t="n">
        <x:v>8.29</x:v>
      </x:c>
      <x:c r="N35" s="25" t="n">
        <x:v>7.04</x:v>
      </x:c>
      <x:c r="O35" s="25" t="n">
        <x:v>7.11</x:v>
      </x:c>
      <x:c r="P35" s="26" t="n">
        <x:f>IF(COUNT(F35,H35)&lt;2,"",F35*H35)</x:f>
        <x:v>771532.62</x:v>
      </x:c>
      <x:c r="Q35" s="26" t="n">
        <x:f>IF(COUNT(J35,L35,N35)&lt;3,"",SUM(J35,L35,N35))</x:f>
        <x:v>32.230000000000004</x:v>
      </x:c>
      <x:c r="R35" s="26" t="n">
        <x:f>IF(COUNT(F35,J35)&lt;2,"",F35*J35)</x:f>
        <x:v>273697.44</x:v>
      </x:c>
      <x:c r="S35" s="26" t="n">
        <x:f>IF(COUNT(F35,L35)&lt;2,"",F35*L35)</x:f>
        <x:v>129015.09000000001</x:v>
      </x:c>
      <x:c r="T35" s="21" t="n">
        <x:f>IF(COUNT(F35,N35)&lt;2,"",F35*N35)</x:f>
        <x:v>112548.48</x:v>
      </x:c>
      <x:c r="U35" s="26" t="n">
        <x:f>IF(COUNT(R35:T35)&lt;3,"",SUM(R35:T35))</x:f>
        <x:v>515261.01</x:v>
      </x:c>
      <x:c r="V35" s="26" t="n">
        <x:f>IF(COUNT(P35,U35)&lt;2,"",P35-U35)</x:f>
        <x:v>256271.61</x:v>
      </x:c>
      <x:c r="W35" s="28" t="n">
        <x:f>IF(OR(P35="",P35=0,V35=""),"",V35/P35)</x:f>
        <x:v>0.33215913800248653</x:v>
      </x:c>
      <x:c r="X35" s="26" t="n">
        <x:f>IF(COUNT(G35,I35)&lt;2,"",G35*I35)</x:f>
        <x:v>756297.0800000001</x:v>
      </x:c>
      <x:c r="Y35" s="26" t="n">
        <x:f>IF(COUNT(K35,M35,O35)&lt;3,"",SUM(K35,M35,O35))</x:f>
        <x:v>33.18</x:v>
      </x:c>
      <x:c r="Z35" s="26" t="n">
        <x:f>IF(COUNT(G35,K35)&lt;2,"",G35*K35)</x:f>
        <x:v>281670.76</x:v>
      </x:c>
      <x:c r="AA35" s="26" t="n">
        <x:f>IF(COUNT(G35,M35)&lt;2,"",G35*M35)</x:f>
        <x:v>131330.18</x:v>
      </x:c>
      <x:c r="AB35" s="21" t="n">
        <x:f>IF(COUNT(G35,O35)&lt;2,"",G35*O35)</x:f>
        <x:v>112636.62000000001</x:v>
      </x:c>
      <x:c r="AC35" s="26" t="n">
        <x:f>IF(COUNT(Z35:AB35)&lt;3,"",SUM(Z35:AB35))</x:f>
        <x:v>525637.56</x:v>
      </x:c>
      <x:c r="AD35" s="26" t="n">
        <x:f>IF(COUNT(X35,AC35)&lt;2,"",X35-AC35)</x:f>
        <x:v>230659.52000000002</x:v>
      </x:c>
      <x:c r="AE35" s="28" t="n">
        <x:f>IF(OR(X35="",X35=0,AD35=""),"",AD35/X35)</x:f>
        <x:v>0.30498533724340177</x:v>
      </x:c>
      <x:c r="AF35" s="29" t="n">
        <x:f>IF(COUNT(F35,G35)&lt;2,"",G35-F35)</x:f>
        <x:v>-145</x:v>
      </x:c>
      <x:c r="AG35" s="30" t="n">
        <x:f>IF(OR(F35="",F35=0,AF35=""),"",AF35/ABS(F35))</x:f>
        <x:v>-0.009069869268780884</x:v>
      </x:c>
      <x:c r="AH35" s="26" t="n">
        <x:f>IF(COUNT(P35,X35)&lt;2,"",X35-P35)</x:f>
        <x:v>-15235.53999999992</x:v>
      </x:c>
      <x:c r="AI35" s="30" t="n">
        <x:f>IF(OR(P35="",P35=0,AH35=""),"",AH35/ABS(P35))</x:f>
        <x:v>-0.01974711062767498</x:v>
      </x:c>
      <x:c r="AJ35" s="26" t="n">
        <x:f>IF(COUNT(U35,AC35)&lt;2,"",AC35-U35)</x:f>
        <x:v>10376.550000000047</x:v>
      </x:c>
      <x:c r="AK35" s="30" t="n">
        <x:f>IF(OR(U35="",U35=0,AJ35=""),"",AJ35/ABS(U35))</x:f>
        <x:v>0.020138434305363113</x:v>
      </x:c>
      <x:c r="AL35" s="26" t="n">
        <x:f>IF(COUNT(V35,AD35)&lt;2,"",AD35-V35)</x:f>
        <x:v>-25612.089999999967</x:v>
      </x:c>
      <x:c r="AM35" s="30" t="n">
        <x:f>IF(OR(V35="",V35=0,AL35=""),"",AL35/ABS(V35))</x:f>
        <x:v>-0.09994119130090129</x:v>
      </x:c>
      <x:c r="AN35" s="26" t="n">
        <x:f>IF(OR(W35="",AE35=""),"",(AE35-W35)*100)</x:f>
        <x:v>-2.7173800759084763</x:v>
      </x:c>
      <x:c r="AO35" s="26" t="n">
        <x:f>IF(COUNT(F35,G35,H35)&lt;3,"",(G35-F35)*H35)</x:f>
        <x:v>-6997.7</x:v>
      </x:c>
      <x:c r="AP35" s="26" t="n">
        <x:f>IF(COUNT(G35,H35,I35)&lt;3,"",G35*(I35-H35))</x:f>
        <x:v>-8237.839999999936</x:v>
      </x:c>
    </x:row>
    <x:row r="36">
      <x:c r="A36" s="23" t="str">
        <x:v>2025-07</x:v>
      </x:c>
      <x:c r="B36" s="21" t="str">
        <x:v>Automotive Sensors</x:v>
      </x:c>
      <x:c r="C36" s="21" t="str">
        <x:v>EUR</x:v>
      </x:c>
      <x:c r="D36" s="21" t="str">
        <x:v>Synthetic Data</x:v>
      </x:c>
      <x:c r="E36" s="21" t="str">
        <x:v>Simulated Company</x:v>
      </x:c>
      <x:c r="F36" s="24" t="n">
        <x:v>15249</x:v>
      </x:c>
      <x:c r="G36" s="24" t="n">
        <x:v>15584</x:v>
      </x:c>
      <x:c r="H36" s="25" t="n">
        <x:v>48.31</x:v>
      </x:c>
      <x:c r="I36" s="25" t="n">
        <x:v>47.81</x:v>
      </x:c>
      <x:c r="J36" s="25" t="n">
        <x:v>17.15</x:v>
      </x:c>
      <x:c r="K36" s="25" t="n">
        <x:v>17.74</x:v>
      </x:c>
      <x:c r="L36" s="25" t="n">
        <x:v>8.09</x:v>
      </x:c>
      <x:c r="M36" s="25" t="n">
        <x:v>8.32</x:v>
      </x:c>
      <x:c r="N36" s="25" t="n">
        <x:v>7.05</x:v>
      </x:c>
      <x:c r="O36" s="25" t="n">
        <x:v>7.07</x:v>
      </x:c>
      <x:c r="P36" s="26" t="n">
        <x:f>IF(COUNT(F36,H36)&lt;2,"",F36*H36)</x:f>
        <x:v>736679.1900000001</x:v>
      </x:c>
      <x:c r="Q36" s="26" t="n">
        <x:f>IF(COUNT(J36,L36,N36)&lt;3,"",SUM(J36,L36,N36))</x:f>
        <x:v>32.29</x:v>
      </x:c>
      <x:c r="R36" s="26" t="n">
        <x:f>IF(COUNT(F36,J36)&lt;2,"",F36*J36)</x:f>
        <x:v>261520.34999999998</x:v>
      </x:c>
      <x:c r="S36" s="26" t="n">
        <x:f>IF(COUNT(F36,L36)&lt;2,"",F36*L36)</x:f>
        <x:v>123364.41</x:v>
      </x:c>
      <x:c r="T36" s="21" t="n">
        <x:f>IF(COUNT(F36,N36)&lt;2,"",F36*N36)</x:f>
        <x:v>107505.45</x:v>
      </x:c>
      <x:c r="U36" s="26" t="n">
        <x:f>IF(COUNT(R36:T36)&lt;3,"",SUM(R36:T36))</x:f>
        <x:v>492390.21</x:v>
      </x:c>
      <x:c r="V36" s="26" t="n">
        <x:f>IF(COUNT(P36,U36)&lt;2,"",P36-U36)</x:f>
        <x:v>244288.98000000004</x:v>
      </x:c>
      <x:c r="W36" s="28" t="n">
        <x:f>IF(OR(P36="",P36=0,V36=""),"",V36/P36)</x:f>
        <x:v>0.33160836265783483</x:v>
      </x:c>
      <x:c r="X36" s="26" t="n">
        <x:f>IF(COUNT(G36,I36)&lt;2,"",G36*I36)</x:f>
        <x:v>745071.04</x:v>
      </x:c>
      <x:c r="Y36" s="26" t="n">
        <x:f>IF(COUNT(K36,M36,O36)&lt;3,"",SUM(K36,M36,O36))</x:f>
        <x:v>33.129999999999995</x:v>
      </x:c>
      <x:c r="Z36" s="26" t="n">
        <x:f>IF(COUNT(G36,K36)&lt;2,"",G36*K36)</x:f>
        <x:v>276460.16</x:v>
      </x:c>
      <x:c r="AA36" s="26" t="n">
        <x:f>IF(COUNT(G36,M36)&lt;2,"",G36*M36)</x:f>
        <x:v>129658.88</x:v>
      </x:c>
      <x:c r="AB36" s="21" t="n">
        <x:f>IF(COUNT(G36,O36)&lt;2,"",G36*O36)</x:f>
        <x:v>110178.88</x:v>
      </x:c>
      <x:c r="AC36" s="26" t="n">
        <x:f>IF(COUNT(Z36:AB36)&lt;3,"",SUM(Z36:AB36))</x:f>
        <x:v>516297.92</x:v>
      </x:c>
      <x:c r="AD36" s="26" t="n">
        <x:f>IF(COUNT(X36,AC36)&lt;2,"",X36-AC36)</x:f>
        <x:v>228773.12000000005</x:v>
      </x:c>
      <x:c r="AE36" s="28" t="n">
        <x:f>IF(OR(X36="",X36=0,AD36=""),"",AD36/X36)</x:f>
        <x:v>0.3070487345743569</x:v>
      </x:c>
      <x:c r="AF36" s="29" t="n">
        <x:f>IF(COUNT(F36,G36)&lt;2,"",G36-F36)</x:f>
        <x:v>335</x:v>
      </x:c>
      <x:c r="AG36" s="30" t="n">
        <x:f>IF(OR(F36="",F36=0,AF36=""),"",AF36/ABS(F36))</x:f>
        <x:v>0.02196865368220867</x:v>
      </x:c>
      <x:c r="AH36" s="26" t="n">
        <x:f>IF(COUNT(P36,X36)&lt;2,"",X36-P36)</x:f>
        <x:v>8391.849999999977</x:v>
      </x:c>
      <x:c r="AI36" s="30" t="n">
        <x:f>IF(OR(P36="",P36=0,AH36=""),"",AH36/ABS(P36))</x:f>
        <x:v>0.011391457928925583</x:v>
      </x:c>
      <x:c r="AJ36" s="26" t="n">
        <x:f>IF(COUNT(U36,AC36)&lt;2,"",AC36-U36)</x:f>
        <x:v>23907.709999999963</x:v>
      </x:c>
      <x:c r="AK36" s="30" t="n">
        <x:f>IF(OR(U36="",U36=0,AJ36=""),"",AJ36/ABS(U36))</x:f>
        <x:v>0.048554397537676396</x:v>
      </x:c>
      <x:c r="AL36" s="26" t="n">
        <x:f>IF(COUNT(V36,AD36)&lt;2,"",AD36-V36)</x:f>
        <x:v>-15515.859999999986</x:v>
      </x:c>
      <x:c r="AM36" s="30" t="n">
        <x:f>IF(OR(V36="",V36=0,AL36=""),"",AL36/ABS(V36))</x:f>
        <x:v>-0.06351436728746415</x:v>
      </x:c>
      <x:c r="AN36" s="26" t="n">
        <x:f>IF(OR(W36="",AE36=""),"",(AE36-W36)*100)</x:f>
        <x:v>-2.4559628083477945</x:v>
      </x:c>
      <x:c r="AO36" s="26" t="n">
        <x:f>IF(COUNT(F36,G36,H36)&lt;3,"",(G36-F36)*H36)</x:f>
        <x:v>16183.85</x:v>
      </x:c>
      <x:c r="AP36" s="26" t="n">
        <x:f>IF(COUNT(G36,H36,I36)&lt;3,"",G36*(I36-H36))</x:f>
        <x:v>-7792</x:v>
      </x:c>
    </x:row>
    <x:row r="37">
      <x:c r="A37" s="23" t="str">
        <x:v>2025-08</x:v>
      </x:c>
      <x:c r="B37" s="21" t="str">
        <x:v>Automotive Sensors</x:v>
      </x:c>
      <x:c r="C37" s="21" t="str">
        <x:v>EUR</x:v>
      </x:c>
      <x:c r="D37" s="21" t="str">
        <x:v>Synthetic Data</x:v>
      </x:c>
      <x:c r="E37" s="21" t="str">
        <x:v>Simulated Company</x:v>
      </x:c>
      <x:c r="F37" s="24" t="n">
        <x:v>13301</x:v>
      </x:c>
      <x:c r="G37" s="24" t="n">
        <x:v>13212</x:v>
      </x:c>
      <x:c r="H37" s="25" t="n">
        <x:v>48.37</x:v>
      </x:c>
      <x:c r="I37" s="25" t="n">
        <x:v>48.41</x:v>
      </x:c>
      <x:c r="J37" s="25" t="n">
        <x:v>17.17</x:v>
      </x:c>
      <x:c r="K37" s="25" t="n">
        <x:v>17.65</x:v>
      </x:c>
      <x:c r="L37" s="25" t="n">
        <x:v>8.1</x:v>
      </x:c>
      <x:c r="M37" s="25" t="n">
        <x:v>8.29</x:v>
      </x:c>
      <x:c r="N37" s="25" t="n">
        <x:v>7.05</x:v>
      </x:c>
      <x:c r="O37" s="25" t="n">
        <x:v>7.16</x:v>
      </x:c>
      <x:c r="P37" s="26" t="n">
        <x:f>IF(COUNT(F37,H37)&lt;2,"",F37*H37)</x:f>
        <x:v>643369.37</x:v>
      </x:c>
      <x:c r="Q37" s="26" t="n">
        <x:f>IF(COUNT(J37,L37,N37)&lt;3,"",SUM(J37,L37,N37))</x:f>
        <x:v>32.32</x:v>
      </x:c>
      <x:c r="R37" s="26" t="n">
        <x:f>IF(COUNT(F37,J37)&lt;2,"",F37*J37)</x:f>
        <x:v>228378.17</x:v>
      </x:c>
      <x:c r="S37" s="26" t="n">
        <x:f>IF(COUNT(F37,L37)&lt;2,"",F37*L37)</x:f>
        <x:v>107738.09999999999</x:v>
      </x:c>
      <x:c r="T37" s="21" t="n">
        <x:f>IF(COUNT(F37,N37)&lt;2,"",F37*N37)</x:f>
        <x:v>93772.05</x:v>
      </x:c>
      <x:c r="U37" s="26" t="n">
        <x:f>IF(COUNT(R37:T37)&lt;3,"",SUM(R37:T37))</x:f>
        <x:v>429888.32</x:v>
      </x:c>
      <x:c r="V37" s="26" t="n">
        <x:f>IF(COUNT(P37,U37)&lt;2,"",P37-U37)</x:f>
        <x:v>213481.05</x:v>
      </x:c>
      <x:c r="W37" s="28" t="n">
        <x:f>IF(OR(P37="",P37=0,V37=""),"",V37/P37)</x:f>
        <x:v>0.3318172420922059</x:v>
      </x:c>
      <x:c r="X37" s="26" t="n">
        <x:f>IF(COUNT(G37,I37)&lt;2,"",G37*I37)</x:f>
        <x:v>639592.9199999999</x:v>
      </x:c>
      <x:c r="Y37" s="26" t="n">
        <x:f>IF(COUNT(K37,M37,O37)&lt;3,"",SUM(K37,M37,O37))</x:f>
        <x:v>33.099999999999994</x:v>
      </x:c>
      <x:c r="Z37" s="26" t="n">
        <x:f>IF(COUNT(G37,K37)&lt;2,"",G37*K37)</x:f>
        <x:v>233191.8</x:v>
      </x:c>
      <x:c r="AA37" s="26" t="n">
        <x:f>IF(COUNT(G37,M37)&lt;2,"",G37*M37)</x:f>
        <x:v>109527.48</x:v>
      </x:c>
      <x:c r="AB37" s="21" t="n">
        <x:f>IF(COUNT(G37,O37)&lt;2,"",G37*O37)</x:f>
        <x:v>94597.92</x:v>
      </x:c>
      <x:c r="AC37" s="26" t="n">
        <x:f>IF(COUNT(Z37:AB37)&lt;3,"",SUM(Z37:AB37))</x:f>
        <x:v>437317.19999999995</x:v>
      </x:c>
      <x:c r="AD37" s="26" t="n">
        <x:f>IF(COUNT(X37,AC37)&lt;2,"",X37-AC37)</x:f>
        <x:v>202275.71999999997</x:v>
      </x:c>
      <x:c r="AE37" s="28" t="n">
        <x:f>IF(OR(X37="",X37=0,AD37=""),"",AD37/X37)</x:f>
        <x:v>0.31625697170006195</x:v>
      </x:c>
      <x:c r="AF37" s="29" t="n">
        <x:f>IF(COUNT(F37,G37)&lt;2,"",G37-F37)</x:f>
        <x:v>-89</x:v>
      </x:c>
      <x:c r="AG37" s="30" t="n">
        <x:f>IF(OR(F37="",F37=0,AF37=""),"",AF37/ABS(F37))</x:f>
        <x:v>-0.006691226223592211</x:v>
      </x:c>
      <x:c r="AH37" s="26" t="n">
        <x:f>IF(COUNT(P37,X37)&lt;2,"",X37-P37)</x:f>
        <x:v>-3776.45000000007</x:v>
      </x:c>
      <x:c r="AI37" s="30" t="n">
        <x:f>IF(OR(P37="",P37=0,AH37=""),"",AH37/ABS(P37))</x:f>
        <x:v>-0.005869800733597358</x:v>
      </x:c>
      <x:c r="AJ37" s="26" t="n">
        <x:f>IF(COUNT(U37,AC37)&lt;2,"",AC37-U37)</x:f>
        <x:v>7428.879999999946</x:v>
      </x:c>
      <x:c r="AK37" s="30" t="n">
        <x:f>IF(OR(U37="",U37=0,AJ37=""),"",AJ37/ABS(U37))</x:f>
        <x:v>0.01728095334155612</x:v>
      </x:c>
      <x:c r="AL37" s="26" t="n">
        <x:f>IF(COUNT(V37,AD37)&lt;2,"",AD37-V37)</x:f>
        <x:v>-11205.330000000016</x:v>
      </x:c>
      <x:c r="AM37" s="30" t="n">
        <x:f>IF(OR(V37="",V37=0,AL37=""),"",AL37/ABS(V37))</x:f>
        <x:v>-0.05248864009241109</x:v>
      </x:c>
      <x:c r="AN37" s="26" t="n">
        <x:f>IF(OR(W37="",AE37=""),"",(AE37-W37)*100)</x:f>
        <x:v>-1.5560270392143971</x:v>
      </x:c>
      <x:c r="AO37" s="26" t="n">
        <x:f>IF(COUNT(F37,G37,H37)&lt;3,"",(G37-F37)*H37)</x:f>
        <x:v>-4304.929999999999</x:v>
      </x:c>
      <x:c r="AP37" s="26" t="n">
        <x:f>IF(COUNT(G37,H37,I37)&lt;3,"",G37*(I37-H37))</x:f>
        <x:v>528.4799999999888</x:v>
      </x:c>
    </x:row>
    <x:row r="38">
      <x:c r="A38" s="23" t="str">
        <x:v>2025-09</x:v>
      </x:c>
      <x:c r="B38" s="21" t="str">
        <x:v>Automotive Sensors</x:v>
      </x:c>
      <x:c r="C38" s="21" t="str">
        <x:v>EUR</x:v>
      </x:c>
      <x:c r="D38" s="21" t="str">
        <x:v>Synthetic Data</x:v>
      </x:c>
      <x:c r="E38" s="21" t="str">
        <x:v>Simulated Company</x:v>
      </x:c>
      <x:c r="F38" s="24" t="n">
        <x:v>15434</x:v>
      </x:c>
      <x:c r="G38" s="24" t="n">
        <x:v>15194</x:v>
      </x:c>
      <x:c r="H38" s="25" t="n">
        <x:v>48.42</x:v>
      </x:c>
      <x:c r="I38" s="25" t="n">
        <x:v>48.2</x:v>
      </x:c>
      <x:c r="J38" s="25" t="n">
        <x:v>17.2</x:v>
      </x:c>
      <x:c r="K38" s="25" t="n">
        <x:v>17.51</x:v>
      </x:c>
      <x:c r="L38" s="25" t="n">
        <x:v>8.12</x:v>
      </x:c>
      <x:c r="M38" s="25" t="n">
        <x:v>8.32</x:v>
      </x:c>
      <x:c r="N38" s="25" t="n">
        <x:v>7.06</x:v>
      </x:c>
      <x:c r="O38" s="25" t="n">
        <x:v>7.19</x:v>
      </x:c>
      <x:c r="P38" s="26" t="n">
        <x:f>IF(COUNT(F38,H38)&lt;2,"",F38*H38)</x:f>
        <x:v>747314.28</x:v>
      </x:c>
      <x:c r="Q38" s="26" t="n">
        <x:f>IF(COUNT(J38,L38,N38)&lt;3,"",SUM(J38,L38,N38))</x:f>
        <x:v>32.38</x:v>
      </x:c>
      <x:c r="R38" s="26" t="n">
        <x:f>IF(COUNT(F38,J38)&lt;2,"",F38*J38)</x:f>
        <x:v>265464.8</x:v>
      </x:c>
      <x:c r="S38" s="26" t="n">
        <x:f>IF(COUNT(F38,L38)&lt;2,"",F38*L38)</x:f>
        <x:v>125324.07999999999</x:v>
      </x:c>
      <x:c r="T38" s="21" t="n">
        <x:f>IF(COUNT(F38,N38)&lt;2,"",F38*N38)</x:f>
        <x:v>108964.04</x:v>
      </x:c>
      <x:c r="U38" s="26" t="n">
        <x:f>IF(COUNT(R38:T38)&lt;3,"",SUM(R38:T38))</x:f>
        <x:v>499752.92</x:v>
      </x:c>
      <x:c r="V38" s="26" t="n">
        <x:f>IF(COUNT(P38,U38)&lt;2,"",P38-U38)</x:f>
        <x:v>247561.36000000004</x:v>
      </x:c>
      <x:c r="W38" s="28" t="n">
        <x:f>IF(OR(P38="",P38=0,V38=""),"",V38/P38)</x:f>
        <x:v>0.33126807104502276</x:v>
      </x:c>
      <x:c r="X38" s="26" t="n">
        <x:f>IF(COUNT(G38,I38)&lt;2,"",G38*I38)</x:f>
        <x:v>732350.8</x:v>
      </x:c>
      <x:c r="Y38" s="26" t="n">
        <x:f>IF(COUNT(K38,M38,O38)&lt;3,"",SUM(K38,M38,O38))</x:f>
        <x:v>33.02</x:v>
      </x:c>
      <x:c r="Z38" s="26" t="n">
        <x:f>IF(COUNT(G38,K38)&lt;2,"",G38*K38)</x:f>
        <x:v>266046.94</x:v>
      </x:c>
      <x:c r="AA38" s="26" t="n">
        <x:f>IF(COUNT(G38,M38)&lt;2,"",G38*M38)</x:f>
        <x:v>126414.08</x:v>
      </x:c>
      <x:c r="AB38" s="21" t="n">
        <x:f>IF(COUNT(G38,O38)&lt;2,"",G38*O38)</x:f>
        <x:v>109244.86</x:v>
      </x:c>
      <x:c r="AC38" s="26" t="n">
        <x:f>IF(COUNT(Z38:AB38)&lt;3,"",SUM(Z38:AB38))</x:f>
        <x:v>501705.88</x:v>
      </x:c>
      <x:c r="AD38" s="26" t="n">
        <x:f>IF(COUNT(X38,AC38)&lt;2,"",X38-AC38)</x:f>
        <x:v>230644.92000000004</x:v>
      </x:c>
      <x:c r="AE38" s="28" t="n">
        <x:f>IF(OR(X38="",X38=0,AD38=""),"",AD38/X38)</x:f>
        <x:v>0.31493775933609963</x:v>
      </x:c>
      <x:c r="AF38" s="29" t="n">
        <x:f>IF(COUNT(F38,G38)&lt;2,"",G38-F38)</x:f>
        <x:v>-240</x:v>
      </x:c>
      <x:c r="AG38" s="30" t="n">
        <x:f>IF(OR(F38="",F38=0,AF38=""),"",AF38/ABS(F38))</x:f>
        <x:v>-0.01555008422962291</x:v>
      </x:c>
      <x:c r="AH38" s="26" t="n">
        <x:f>IF(COUNT(P38,X38)&lt;2,"",X38-P38)</x:f>
        <x:v>-14963.479999999981</x:v>
      </x:c>
      <x:c r="AI38" s="30" t="n">
        <x:f>IF(OR(P38="",P38=0,AH38=""),"",AH38/ABS(P38))</x:f>
        <x:v>-0.020023008258319354</x:v>
      </x:c>
      <x:c r="AJ38" s="26" t="n">
        <x:f>IF(COUNT(U38,AC38)&lt;2,"",AC38-U38)</x:f>
        <x:v>1952.960000000021</x:v>
      </x:c>
      <x:c r="AK38" s="30" t="n">
        <x:f>IF(OR(U38="",U38=0,AJ38=""),"",AJ38/ABS(U38))</x:f>
        <x:v>0.003907851103701447</x:v>
      </x:c>
      <x:c r="AL38" s="26" t="n">
        <x:f>IF(COUNT(V38,AD38)&lt;2,"",AD38-V38)</x:f>
        <x:v>-16916.440000000002</x:v>
      </x:c>
      <x:c r="AM38" s="30" t="n">
        <x:f>IF(OR(V38="",V38=0,AL38=""),"",AL38/ABS(V38))</x:f>
        <x:v>-0.0683323116337703</x:v>
      </x:c>
      <x:c r="AN38" s="26" t="n">
        <x:f>IF(OR(W38="",AE38=""),"",(AE38-W38)*100)</x:f>
        <x:v>-1.6330311708923129</x:v>
      </x:c>
      <x:c r="AO38" s="26" t="n">
        <x:f>IF(COUNT(F38,G38,H38)&lt;3,"",(G38-F38)*H38)</x:f>
        <x:v>-11620.800000000001</x:v>
      </x:c>
      <x:c r="AP38" s="26" t="n">
        <x:f>IF(COUNT(G38,H38,I38)&lt;3,"",G38*(I38-H38))</x:f>
        <x:v>-3342.6799999999826</x:v>
      </x:c>
    </x:row>
    <x:row r="39">
      <x:c r="A39" s="23" t="str">
        <x:v>2025-10</x:v>
      </x:c>
      <x:c r="B39" s="21" t="str">
        <x:v>Automotive Sensors</x:v>
      </x:c>
      <x:c r="C39" s="21" t="str">
        <x:v>EUR</x:v>
      </x:c>
      <x:c r="D39" s="21" t="str">
        <x:v>Synthetic Data</x:v>
      </x:c>
      <x:c r="E39" s="21" t="str">
        <x:v>Simulated Company</x:v>
      </x:c>
      <x:c r="F39" s="24" t="n">
        <x:v>16359</x:v>
      </x:c>
      <x:c r="G39" s="24" t="n">
        <x:v>16521</x:v>
      </x:c>
      <x:c r="H39" s="25" t="n">
        <x:v>48.47</x:v>
      </x:c>
      <x:c r="I39" s="25" t="n">
        <x:v>47.97</x:v>
      </x:c>
      <x:c r="J39" s="25" t="n">
        <x:v>17.22</x:v>
      </x:c>
      <x:c r="K39" s="25" t="n">
        <x:v>17.41</x:v>
      </x:c>
      <x:c r="L39" s="25" t="n">
        <x:v>8.13</x:v>
      </x:c>
      <x:c r="M39" s="25" t="n">
        <x:v>8.34</x:v>
      </x:c>
      <x:c r="N39" s="25" t="n">
        <x:v>7.07</x:v>
      </x:c>
      <x:c r="O39" s="25" t="n">
        <x:v>7.1</x:v>
      </x:c>
      <x:c r="P39" s="26" t="n">
        <x:f>IF(COUNT(F39,H39)&lt;2,"",F39*H39)</x:f>
        <x:v>792920.73</x:v>
      </x:c>
      <x:c r="Q39" s="26" t="n">
        <x:f>IF(COUNT(J39,L39,N39)&lt;3,"",SUM(J39,L39,N39))</x:f>
        <x:v>32.42</x:v>
      </x:c>
      <x:c r="R39" s="26" t="n">
        <x:f>IF(COUNT(F39,J39)&lt;2,"",F39*J39)</x:f>
        <x:v>281701.98</x:v>
      </x:c>
      <x:c r="S39" s="26" t="n">
        <x:f>IF(COUNT(F39,L39)&lt;2,"",F39*L39)</x:f>
        <x:v>132998.67</x:v>
      </x:c>
      <x:c r="T39" s="21" t="n">
        <x:f>IF(COUNT(F39,N39)&lt;2,"",F39*N39)</x:f>
        <x:v>115658.13</x:v>
      </x:c>
      <x:c r="U39" s="26" t="n">
        <x:f>IF(COUNT(R39:T39)&lt;3,"",SUM(R39:T39))</x:f>
        <x:v>530358.78</x:v>
      </x:c>
      <x:c r="V39" s="26" t="n">
        <x:f>IF(COUNT(P39,U39)&lt;2,"",P39-U39)</x:f>
        <x:v>262561.94999999995</x:v>
      </x:c>
      <x:c r="W39" s="28" t="n">
        <x:f>IF(OR(P39="",P39=0,V39=""),"",V39/P39)</x:f>
        <x:v>0.33113265937693415</x:v>
      </x:c>
      <x:c r="X39" s="26" t="n">
        <x:f>IF(COUNT(G39,I39)&lt;2,"",G39*I39)</x:f>
        <x:v>792512.37</x:v>
      </x:c>
      <x:c r="Y39" s="26" t="n">
        <x:f>IF(COUNT(K39,M39,O39)&lt;3,"",SUM(K39,M39,O39))</x:f>
        <x:v>32.85</x:v>
      </x:c>
      <x:c r="Z39" s="26" t="n">
        <x:f>IF(COUNT(G39,K39)&lt;2,"",G39*K39)</x:f>
        <x:v>287630.61</x:v>
      </x:c>
      <x:c r="AA39" s="26" t="n">
        <x:f>IF(COUNT(G39,M39)&lt;2,"",G39*M39)</x:f>
        <x:v>137785.13999999998</x:v>
      </x:c>
      <x:c r="AB39" s="21" t="n">
        <x:f>IF(COUNT(G39,O39)&lt;2,"",G39*O39)</x:f>
        <x:v>117299.09999999999</x:v>
      </x:c>
      <x:c r="AC39" s="26" t="n">
        <x:f>IF(COUNT(Z39:AB39)&lt;3,"",SUM(Z39:AB39))</x:f>
        <x:v>542714.85</x:v>
      </x:c>
      <x:c r="AD39" s="26" t="n">
        <x:f>IF(COUNT(X39,AC39)&lt;2,"",X39-AC39)</x:f>
        <x:v>249797.52000000002</x:v>
      </x:c>
      <x:c r="AE39" s="28" t="n">
        <x:f>IF(OR(X39="",X39=0,AD39=""),"",AD39/X39)</x:f>
        <x:v>0.3151969981238274</x:v>
      </x:c>
      <x:c r="AF39" s="29" t="n">
        <x:f>IF(COUNT(F39,G39)&lt;2,"",G39-F39)</x:f>
        <x:v>162</x:v>
      </x:c>
      <x:c r="AG39" s="30" t="n">
        <x:f>IF(OR(F39="",F39=0,AF39=""),"",AF39/ABS(F39))</x:f>
        <x:v>0.009902805794975243</x:v>
      </x:c>
      <x:c r="AH39" s="26" t="n">
        <x:f>IF(COUNT(P39,X39)&lt;2,"",X39-P39)</x:f>
        <x:v>-408.35999999998603</x:v>
      </x:c>
      <x:c r="AI39" s="30" t="n">
        <x:f>IF(OR(P39="",P39=0,AH39=""),"",AH39/ABS(P39))</x:f>
        <x:v>-0.0005150073450595573</x:v>
      </x:c>
      <x:c r="AJ39" s="26" t="n">
        <x:f>IF(COUNT(U39,AC39)&lt;2,"",AC39-U39)</x:f>
        <x:v>12356.069999999949</x:v>
      </x:c>
      <x:c r="AK39" s="30" t="n">
        <x:f>IF(OR(U39="",U39=0,AJ39=""),"",AJ39/ABS(U39))</x:f>
        <x:v>0.023297568487505662</x:v>
      </x:c>
      <x:c r="AL39" s="26" t="n">
        <x:f>IF(COUNT(V39,AD39)&lt;2,"",AD39-V39)</x:f>
        <x:v>-12764.429999999935</x:v>
      </x:c>
      <x:c r="AM39" s="30" t="n">
        <x:f>IF(OR(V39="",V39=0,AL39=""),"",AL39/ABS(V39))</x:f>
        <x:v>-0.04861492687725673</x:v>
      </x:c>
      <x:c r="AN39" s="26" t="n">
        <x:f>IF(OR(W39="",AE39=""),"",(AE39-W39)*100)</x:f>
        <x:v>-1.5935661253106748</x:v>
      </x:c>
      <x:c r="AO39" s="26" t="n">
        <x:f>IF(COUNT(F39,G39,H39)&lt;3,"",(G39-F39)*H39)</x:f>
        <x:v>7852.139999999999</x:v>
      </x:c>
      <x:c r="AP39" s="26" t="n">
        <x:f>IF(COUNT(G39,H39,I39)&lt;3,"",G39*(I39-H39))</x:f>
        <x:v>-8260.5</x:v>
      </x:c>
    </x:row>
    <x:row r="40">
      <x:c r="A40" s="23" t="str">
        <x:v>2025-11</x:v>
      </x:c>
      <x:c r="B40" s="21" t="str">
        <x:v>Automotive Sensors</x:v>
      </x:c>
      <x:c r="C40" s="21" t="str">
        <x:v>EUR</x:v>
      </x:c>
      <x:c r="D40" s="21" t="str">
        <x:v>Synthetic Data</x:v>
      </x:c>
      <x:c r="E40" s="21" t="str">
        <x:v>Simulated Company</x:v>
      </x:c>
      <x:c r="F40" s="24" t="n">
        <x:v>16680</x:v>
      </x:c>
      <x:c r="G40" s="24" t="n">
        <x:v>16969</x:v>
      </x:c>
      <x:c r="H40" s="25" t="n">
        <x:v>48.52</x:v>
      </x:c>
      <x:c r="I40" s="25" t="n">
        <x:v>48.28</x:v>
      </x:c>
      <x:c r="J40" s="25" t="n">
        <x:v>17.25</x:v>
      </x:c>
      <x:c r="K40" s="25" t="n">
        <x:v>17.32</x:v>
      </x:c>
      <x:c r="L40" s="25" t="n">
        <x:v>8.15</x:v>
      </x:c>
      <x:c r="M40" s="25" t="n">
        <x:v>8.33</x:v>
      </x:c>
      <x:c r="N40" s="25" t="n">
        <x:v>7.08</x:v>
      </x:c>
      <x:c r="O40" s="25" t="n">
        <x:v>7.14</x:v>
      </x:c>
      <x:c r="P40" s="26" t="n">
        <x:f>IF(COUNT(F40,H40)&lt;2,"",F40*H40)</x:f>
        <x:v>809313.6000000001</x:v>
      </x:c>
      <x:c r="Q40" s="26" t="n">
        <x:f>IF(COUNT(J40,L40,N40)&lt;3,"",SUM(J40,L40,N40))</x:f>
        <x:v>32.48</x:v>
      </x:c>
      <x:c r="R40" s="26" t="n">
        <x:f>IF(COUNT(F40,J40)&lt;2,"",F40*J40)</x:f>
        <x:v>287730</x:v>
      </x:c>
      <x:c r="S40" s="26" t="n">
        <x:f>IF(COUNT(F40,L40)&lt;2,"",F40*L40)</x:f>
        <x:v>135942</x:v>
      </x:c>
      <x:c r="T40" s="21" t="n">
        <x:f>IF(COUNT(F40,N40)&lt;2,"",F40*N40)</x:f>
        <x:v>118094.4</x:v>
      </x:c>
      <x:c r="U40" s="26" t="n">
        <x:f>IF(COUNT(R40:T40)&lt;3,"",SUM(R40:T40))</x:f>
        <x:v>541766.4</x:v>
      </x:c>
      <x:c r="V40" s="26" t="n">
        <x:f>IF(COUNT(P40,U40)&lt;2,"",P40-U40)</x:f>
        <x:v>267547.20000000007</x:v>
      </x:c>
      <x:c r="W40" s="28" t="n">
        <x:f>IF(OR(P40="",P40=0,V40=""),"",V40/P40)</x:f>
        <x:v>0.33058532563891185</x:v>
      </x:c>
      <x:c r="X40" s="26" t="n">
        <x:f>IF(COUNT(G40,I40)&lt;2,"",G40*I40)</x:f>
        <x:v>819263.3200000001</x:v>
      </x:c>
      <x:c r="Y40" s="26" t="n">
        <x:f>IF(COUNT(K40,M40,O40)&lt;3,"",SUM(K40,M40,O40))</x:f>
        <x:v>32.79</x:v>
      </x:c>
      <x:c r="Z40" s="26" t="n">
        <x:f>IF(COUNT(G40,K40)&lt;2,"",G40*K40)</x:f>
        <x:v>293903.08</x:v>
      </x:c>
      <x:c r="AA40" s="26" t="n">
        <x:f>IF(COUNT(G40,M40)&lt;2,"",G40*M40)</x:f>
        <x:v>141351.77</x:v>
      </x:c>
      <x:c r="AB40" s="21" t="n">
        <x:f>IF(COUNT(G40,O40)&lt;2,"",G40*O40)</x:f>
        <x:v>121158.65999999999</x:v>
      </x:c>
      <x:c r="AC40" s="26" t="n">
        <x:f>IF(COUNT(Z40:AB40)&lt;3,"",SUM(Z40:AB40))</x:f>
        <x:v>556413.51</x:v>
      </x:c>
      <x:c r="AD40" s="26" t="n">
        <x:f>IF(COUNT(X40,AC40)&lt;2,"",X40-AC40)</x:f>
        <x:v>262849.81000000006</x:v>
      </x:c>
      <x:c r="AE40" s="28" t="n">
        <x:f>IF(OR(X40="",X40=0,AD40=""),"",AD40/X40)</x:f>
        <x:v>0.3208367854183928</x:v>
      </x:c>
      <x:c r="AF40" s="29" t="n">
        <x:f>IF(COUNT(F40,G40)&lt;2,"",G40-F40)</x:f>
        <x:v>289</x:v>
      </x:c>
      <x:c r="AG40" s="30" t="n">
        <x:f>IF(OR(F40="",F40=0,AF40=""),"",AF40/ABS(F40))</x:f>
        <x:v>0.017326139088729018</x:v>
      </x:c>
      <x:c r="AH40" s="26" t="n">
        <x:f>IF(COUNT(P40,X40)&lt;2,"",X40-P40)</x:f>
        <x:v>9949.719999999972</x:v>
      </x:c>
      <x:c r="AI40" s="30" t="n">
        <x:f>IF(OR(P40="",P40=0,AH40=""),"",AH40/ABS(P40))</x:f>
        <x:v>0.0122940229844154</x:v>
      </x:c>
      <x:c r="AJ40" s="26" t="n">
        <x:f>IF(COUNT(U40,AC40)&lt;2,"",AC40-U40)</x:f>
        <x:v>14647.109999999986</x:v>
      </x:c>
      <x:c r="AK40" s="30" t="n">
        <x:f>IF(OR(U40="",U40=0,AJ40=""),"",AJ40/ABS(U40))</x:f>
        <x:v>0.02703584053939112</x:v>
      </x:c>
      <x:c r="AL40" s="26" t="n">
        <x:f>IF(COUNT(V40,AD40)&lt;2,"",AD40-V40)</x:f>
        <x:v>-4697.390000000014</x:v>
      </x:c>
      <x:c r="AM40" s="30" t="n">
        <x:f>IF(OR(V40="",V40=0,AL40=""),"",AL40/ABS(V40))</x:f>
        <x:v>-0.017557238498478074</x:v>
      </x:c>
      <x:c r="AN40" s="26" t="n">
        <x:f>IF(OR(W40="",AE40=""),"",(AE40-W40)*100)</x:f>
        <x:v>-0.9748540220519075</x:v>
      </x:c>
      <x:c r="AO40" s="26" t="n">
        <x:f>IF(COUNT(F40,G40,H40)&lt;3,"",(G40-F40)*H40)</x:f>
        <x:v>14022.28</x:v>
      </x:c>
      <x:c r="AP40" s="26" t="n">
        <x:f>IF(COUNT(G40,H40,I40)&lt;3,"",G40*(I40-H40))</x:f>
        <x:v>-4072.5600000000336</x:v>
      </x:c>
    </x:row>
    <x:row r="41">
      <x:c r="A41" s="23" t="str">
        <x:v>2025-12</x:v>
      </x:c>
      <x:c r="B41" s="21" t="str">
        <x:v>Automotive Sensors</x:v>
      </x:c>
      <x:c r="C41" s="21" t="str">
        <x:v>EUR</x:v>
      </x:c>
      <x:c r="D41" s="21" t="str">
        <x:v>Synthetic Data</x:v>
      </x:c>
      <x:c r="E41" s="21" t="str">
        <x:v>Simulated Company</x:v>
      </x:c>
      <x:c r="F41" s="24" t="n">
        <x:v>16091</x:v>
      </x:c>
      <x:c r="G41" s="24" t="n">
        <x:v>16200</x:v>
      </x:c>
      <x:c r="H41" s="25" t="n">
        <x:v>48.58</x:v>
      </x:c>
      <x:c r="I41" s="25" t="n">
        <x:v>48.42</x:v>
      </x:c>
      <x:c r="J41" s="25" t="n">
        <x:v>17.27</x:v>
      </x:c>
      <x:c r="K41" s="25" t="n">
        <x:v>17.26</x:v>
      </x:c>
      <x:c r="L41" s="25" t="n">
        <x:v>8.16</x:v>
      </x:c>
      <x:c r="M41" s="25" t="n">
        <x:v>8.39</x:v>
      </x:c>
      <x:c r="N41" s="25" t="n">
        <x:v>7.08</x:v>
      </x:c>
      <x:c r="O41" s="25" t="n">
        <x:v>7.16</x:v>
      </x:c>
      <x:c r="P41" s="26" t="n">
        <x:f>IF(COUNT(F41,H41)&lt;2,"",F41*H41)</x:f>
        <x:v>781700.78</x:v>
      </x:c>
      <x:c r="Q41" s="26" t="n">
        <x:f>IF(COUNT(J41,L41,N41)&lt;3,"",SUM(J41,L41,N41))</x:f>
        <x:v>32.51</x:v>
      </x:c>
      <x:c r="R41" s="26" t="n">
        <x:f>IF(COUNT(F41,J41)&lt;2,"",F41*J41)</x:f>
        <x:v>277891.57</x:v>
      </x:c>
      <x:c r="S41" s="26" t="n">
        <x:f>IF(COUNT(F41,L41)&lt;2,"",F41*L41)</x:f>
        <x:v>131302.56</x:v>
      </x:c>
      <x:c r="T41" s="21" t="n">
        <x:f>IF(COUNT(F41,N41)&lt;2,"",F41*N41)</x:f>
        <x:v>113924.28</x:v>
      </x:c>
      <x:c r="U41" s="26" t="n">
        <x:f>IF(COUNT(R41:T41)&lt;3,"",SUM(R41:T41))</x:f>
        <x:v>523118.41000000003</x:v>
      </x:c>
      <x:c r="V41" s="26" t="n">
        <x:f>IF(COUNT(P41,U41)&lt;2,"",P41-U41)</x:f>
        <x:v>258582.37</x:v>
      </x:c>
      <x:c r="W41" s="28" t="n">
        <x:f>IF(OR(P41="",P41=0,V41=""),"",V41/P41)</x:f>
        <x:v>0.33079456566488263</x:v>
      </x:c>
      <x:c r="X41" s="26" t="n">
        <x:f>IF(COUNT(G41,I41)&lt;2,"",G41*I41)</x:f>
        <x:v>784404</x:v>
      </x:c>
      <x:c r="Y41" s="26" t="n">
        <x:f>IF(COUNT(K41,M41,O41)&lt;3,"",SUM(K41,M41,O41))</x:f>
        <x:v>32.81</x:v>
      </x:c>
      <x:c r="Z41" s="26" t="n">
        <x:f>IF(COUNT(G41,K41)&lt;2,"",G41*K41)</x:f>
        <x:v>279612</x:v>
      </x:c>
      <x:c r="AA41" s="26" t="n">
        <x:f>IF(COUNT(G41,M41)&lt;2,"",G41*M41)</x:f>
        <x:v>135918</x:v>
      </x:c>
      <x:c r="AB41" s="21" t="n">
        <x:f>IF(COUNT(G41,O41)&lt;2,"",G41*O41)</x:f>
        <x:v>115992</x:v>
      </x:c>
      <x:c r="AC41" s="26" t="n">
        <x:f>IF(COUNT(Z41:AB41)&lt;3,"",SUM(Z41:AB41))</x:f>
        <x:v>531522</x:v>
      </x:c>
      <x:c r="AD41" s="26" t="n">
        <x:f>IF(COUNT(X41,AC41)&lt;2,"",X41-AC41)</x:f>
        <x:v>252882</x:v>
      </x:c>
      <x:c r="AE41" s="28" t="n">
        <x:f>IF(OR(X41="",X41=0,AD41=""),"",AD41/X41)</x:f>
        <x:v>0.32238744320528706</x:v>
      </x:c>
      <x:c r="AF41" s="29" t="n">
        <x:f>IF(COUNT(F41,G41)&lt;2,"",G41-F41)</x:f>
        <x:v>109</x:v>
      </x:c>
      <x:c r="AG41" s="30" t="n">
        <x:f>IF(OR(F41="",F41=0,AF41=""),"",AF41/ABS(F41))</x:f>
        <x:v>0.00677397302840097</x:v>
      </x:c>
      <x:c r="AH41" s="26" t="n">
        <x:f>IF(COUNT(P41,X41)&lt;2,"",X41-P41)</x:f>
        <x:v>2703.219999999972</x:v>
      </x:c>
      <x:c r="AI41" s="30" t="n">
        <x:f>IF(OR(P41="",P41=0,AH41=""),"",AH41/ABS(P41))</x:f>
        <x:v>0.0034581262666770933</x:v>
      </x:c>
      <x:c r="AJ41" s="26" t="n">
        <x:f>IF(COUNT(U41,AC41)&lt;2,"",AC41-U41)</x:f>
        <x:v>8403.589999999967</x:v>
      </x:c>
      <x:c r="AK41" s="30" t="n">
        <x:f>IF(OR(U41="",U41=0,AJ41=""),"",AJ41/ABS(U41))</x:f>
        <x:v>0.01606441264416591</x:v>
      </x:c>
      <x:c r="AL41" s="26" t="n">
        <x:f>IF(COUNT(V41,AD41)&lt;2,"",AD41-V41)</x:f>
        <x:v>-5700.369999999995</x:v>
      </x:c>
      <x:c r="AM41" s="30" t="n">
        <x:f>IF(OR(V41="",V41=0,AL41=""),"",AL41/ABS(V41))</x:f>
        <x:v>-0.022044697014726857</x:v>
      </x:c>
      <x:c r="AN41" s="26" t="n">
        <x:f>IF(OR(W41="",AE41=""),"",(AE41-W41)*100)</x:f>
        <x:v>-0.8407122459595573</x:v>
      </x:c>
      <x:c r="AO41" s="26" t="n">
        <x:f>IF(COUNT(F41,G41,H41)&lt;3,"",(G41-F41)*H41)</x:f>
        <x:v>5295.22</x:v>
      </x:c>
      <x:c r="AP41" s="26" t="n">
        <x:f>IF(COUNT(G41,H41,I41)&lt;3,"",G41*(I41-H41))</x:f>
        <x:v>-2591.9999999999445</x:v>
      </x:c>
    </x:row>
  </x:sheetData>
  <x:pageMargins left="0.7" right="0.7" top="0.75" bottom="0.75" header="0.3" footer="0.3"/>
  <x:tableParts count="1">
    <x:tablePart xmlns:r="http://schemas.openxmlformats.org/officeDocument/2006/relationships" r:id="R9c1c1b2859be4fc4"/>
  </x:tableParts>
</x:worksheet>
</file>

<file path=xl/worksheets/sheet6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12" hidden="0" customWidth="1"/>
    <x:col min="5" max="5" width="30" hidden="0" customWidth="1"/>
  </x:cols>
  <x:sheetData>
    <x:row r="2">
      <x:c r="A2" s="2" t="str">
        <x:v>Financial Integrity Checks</x:v>
      </x:c>
      <x:c r="B2" s="1"/>
      <x:c r="C2" s="1"/>
      <x:c r="D2" s="1"/>
      <x:c r="E2" s="1"/>
    </x:row>
    <x:row r="3">
      <x:c r="A3" s="3" t="str">
        <x:v>Terminal controls; no calculation or output depends on this sheet</x:v>
      </x:c>
      <x:c r="B3" s="3"/>
      <x:c r="C3" s="3"/>
      <x:c r="D3" s="3"/>
      <x:c r="E3" s="3"/>
    </x:row>
    <x:row r="5">
      <x:c r="A5" s="15" t="str">
        <x:v>Check</x:v>
      </x:c>
      <x:c r="B5" s="16" t="str">
        <x:v>Result</x:v>
      </x:c>
      <x:c r="C5" s="16" t="str">
        <x:v>Tolerance</x:v>
      </x:c>
      <x:c r="D5" s="16" t="str">
        <x:v>Status</x:v>
      </x:c>
      <x:c r="E5" s="17" t="str">
        <x:v>Scope</x:v>
      </x:c>
    </x:row>
    <x:row r="6">
      <x:c r="A6" s="31" t="str">
        <x:v>Expected row count</x:v>
      </x:c>
      <x:c r="B6" s="81" t="n">
        <x:f>COUNTA(Data!A6:A41)-36</x:f>
        <x:v>0</x:v>
      </x:c>
      <x:c r="C6" s="81" t="n">
        <x:v>0</x:v>
      </x:c>
      <x:c r="D6" s="31" t="str">
        <x:f>IF(ABS(B6)&lt;=C6,"PASS","FAIL")</x:f>
        <x:v>PASS</x:v>
      </x:c>
      <x:c r="E6" s="31" t="str">
        <x:v>12 months × 3 product lines</x:v>
      </x:c>
    </x:row>
    <x:row r="7">
      <x:c r="A7" s="31" t="str">
        <x:v>Duplicate month/product keys</x:v>
      </x:c>
      <x:c r="B7" s="81" t="n">
        <x:f>SUMPRODUCT((COUNTIFS(Data!$A$6:$A$41,Data!$A$6:$A$41,Data!$B$6:$B$41,Data!$B$6:$B$41)&gt;1)*1)</x:f>
        <x:v>0</x:v>
      </x:c>
      <x:c r="C7" s="81" t="n">
        <x:v>0</x:v>
      </x:c>
      <x:c r="D7" s="31" t="str">
        <x:f>IF(ABS(B7)&lt;=C7,"PASS","FAIL")</x:f>
        <x:v>PASS</x:v>
      </x:c>
      <x:c r="E7" s="31" t="str">
        <x:v>Detailed dataset</x:v>
      </x:c>
    </x:row>
    <x:row r="8">
      <x:c r="A8" s="31" t="str">
        <x:v>Missing input drivers</x:v>
      </x:c>
      <x:c r="B8" s="81" t="n">
        <x:f>COUNTBLANK(Data!F6:O41)</x:f>
        <x:v>0</x:v>
      </x:c>
      <x:c r="C8" s="81" t="n">
        <x:v>0</x:v>
      </x:c>
      <x:c r="D8" s="31" t="str">
        <x:f>IF(ABS(B8)&lt;=C8,"PASS","FAIL")</x:f>
        <x:v>PASS</x:v>
      </x:c>
      <x:c r="E8" s="31" t="str">
        <x:v>Editable driver cells</x:v>
      </x:c>
    </x:row>
    <x:row r="9">
      <x:c r="A9" s="31" t="str">
        <x:v>Revenue formula difference</x:v>
      </x:c>
      <x:c r="B9" s="81" t="n">
        <x:f>SUM(Data!P6:P41)-SUMPRODUCT(Data!F6:F41,Data!H6:H41)</x:f>
        <x:v>0</x:v>
      </x:c>
      <x:c r="C9" s="81" t="n">
        <x:v>0.01</x:v>
      </x:c>
      <x:c r="D9" s="31" t="str">
        <x:f>IF(ABS(B9)&lt;=C9,"PASS","FAIL")</x:f>
        <x:v>PASS</x:v>
      </x:c>
      <x:c r="E9" s="31" t="str">
        <x:v>All Budget and Actual rows</x:v>
      </x:c>
    </x:row>
    <x:row r="10">
      <x:c r="A10" s="31" t="str">
        <x:v>COGS formula difference</x:v>
      </x:c>
      <x:c r="B10" s="81" t="n">
        <x:f>SUM(Data!U6:U41)-SUM(Data!R6:T41)</x:f>
        <x:v>7.450580596923828e-9</x:v>
      </x:c>
      <x:c r="C10" s="81" t="n">
        <x:v>0.01</x:v>
      </x:c>
      <x:c r="D10" s="31" t="str">
        <x:f>IF(ABS(B10)&lt;=C10,"PASS","FAIL")</x:f>
        <x:v>PASS</x:v>
      </x:c>
      <x:c r="E10" s="31" t="str">
        <x:v>All Budget and Actual rows</x:v>
      </x:c>
    </x:row>
    <x:row r="11">
      <x:c r="A11" s="31" t="str">
        <x:v>Gross Profit formula difference</x:v>
      </x:c>
      <x:c r="B11" s="81" t="n">
        <x:f>SUM(Data!V6:V41)-SUM(Data!P6:P41)+SUM(Data!U6:U41)</x:f>
        <x:v>-3.725290298461914e-9</x:v>
      </x:c>
      <x:c r="C11" s="81" t="n">
        <x:v>0.01</x:v>
      </x:c>
      <x:c r="D11" s="31" t="str">
        <x:f>IF(ABS(B11)&lt;=C11,"PASS","FAIL")</x:f>
        <x:v>PASS</x:v>
      </x:c>
      <x:c r="E11" s="31" t="str">
        <x:v>All Budget and Actual rows</x:v>
      </x:c>
    </x:row>
    <x:row r="12">
      <x:c r="A12" s="82" t="str">
        <x:v>Gross Profit bridge difference</x:v>
      </x:c>
      <x:c r="B12" s="83" t="n">
        <x:f>'GP Bridge'!Q6</x:f>
        <x:v>-1.0477378964424133e-9</x:v>
      </x:c>
      <x:c r="C12" s="83" t="n">
        <x:v>0.01</x:v>
      </x:c>
      <x:c r="D12" s="82" t="str">
        <x:f>IF(ABS(B12)&lt;=C12,"PASS","FAIL")</x:f>
        <x:v>PASS</x:v>
      </x:c>
      <x:c r="E12" s="82" t="str">
        <x:v>Company portfolio bridge</x:v>
      </x:c>
    </x:row>
  </x:sheetData>
  <x:conditionalFormatting sqref="D6:D12">
    <x:cfRule type="expression" dxfId="0" priority="1">
      <x:formula>D6="FAIL"</x:formula>
    </x:cfRule>
  </x:conditionalFormatting>
  <x:pageMargins left="0.7" right="0.7" top="0.75" bottom="0.75" header="0.3" footer="0.3"/>
</x:worksheet>
</file>